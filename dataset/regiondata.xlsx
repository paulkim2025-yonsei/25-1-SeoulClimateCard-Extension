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AE8200FB-7872-E94E-BF65-F1E70750FE87}" xr6:coauthVersionLast="47" xr6:coauthVersionMax="47" xr10:uidLastSave="{00000000-0000-0000-0000-000000000000}"/>
  <bookViews>
    <workbookView xWindow="10300" yWindow="740" windowWidth="19080" windowHeight="18380" activeTab="4" xr2:uid="{00000000-000D-0000-FFFF-FFFF00000000}"/>
  </bookViews>
  <sheets>
    <sheet name="resident" sheetId="1" r:id="rId1"/>
    <sheet name="medical" sheetId="6" r:id="rId2"/>
    <sheet name="housing" sheetId="3" r:id="rId3"/>
    <sheet name="movingpop" sheetId="4" r:id="rId4"/>
    <sheet name="net_movingpop" sheetId="5" r:id="rId5"/>
  </sheets>
  <definedNames>
    <definedName name="_xlnm._FilterDatabase" localSheetId="2" hidden="1">housing!$B$1:$K$62</definedName>
    <definedName name="_xlnm._FilterDatabase" localSheetId="1" hidden="1">medical!$B$1:$W$62</definedName>
    <definedName name="_xlnm._FilterDatabase" localSheetId="3" hidden="1">movingpop!$B$1:$K$62</definedName>
    <definedName name="_xlnm._FilterDatabase" localSheetId="4" hidden="1">net_movingpop!$A$1:$K$62</definedName>
    <definedName name="_xlnm._FilterDatabase" localSheetId="0" hidden="1">resident!$B$1:$W$62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3" i="6" l="1"/>
  <c r="V23" i="6"/>
  <c r="U23" i="6"/>
  <c r="K23" i="6"/>
  <c r="J23" i="6"/>
  <c r="I23" i="6"/>
  <c r="H23" i="6"/>
  <c r="G23" i="6"/>
  <c r="F23" i="6"/>
  <c r="E23" i="6"/>
  <c r="D23" i="6"/>
  <c r="C23" i="6"/>
  <c r="B23" i="6"/>
  <c r="W17" i="6"/>
  <c r="V17" i="6"/>
  <c r="U17" i="6"/>
  <c r="K17" i="6"/>
  <c r="J17" i="6"/>
  <c r="I17" i="6"/>
  <c r="H17" i="6"/>
  <c r="G17" i="6"/>
  <c r="F17" i="6"/>
  <c r="E17" i="6"/>
  <c r="D17" i="6"/>
  <c r="C17" i="6"/>
  <c r="B17" i="6"/>
  <c r="W16" i="6"/>
  <c r="V16" i="6"/>
  <c r="U16" i="6"/>
  <c r="K16" i="6"/>
  <c r="J16" i="6"/>
  <c r="I16" i="6"/>
  <c r="H16" i="6"/>
  <c r="G16" i="6"/>
  <c r="F16" i="6"/>
  <c r="E16" i="6"/>
  <c r="D16" i="6"/>
  <c r="C16" i="6"/>
  <c r="B16" i="6"/>
  <c r="W14" i="6"/>
  <c r="V14" i="6"/>
  <c r="U14" i="6"/>
  <c r="K14" i="6"/>
  <c r="J14" i="6"/>
  <c r="I14" i="6"/>
  <c r="H14" i="6"/>
  <c r="G14" i="6"/>
  <c r="F14" i="6"/>
  <c r="E14" i="6"/>
  <c r="D14" i="6"/>
  <c r="C14" i="6"/>
  <c r="B14" i="6"/>
  <c r="W13" i="6"/>
  <c r="V13" i="6"/>
  <c r="U13" i="6"/>
  <c r="K13" i="6"/>
  <c r="J13" i="6"/>
  <c r="I13" i="6"/>
  <c r="H13" i="6"/>
  <c r="G13" i="6"/>
  <c r="F13" i="6"/>
  <c r="E13" i="6"/>
  <c r="D13" i="6"/>
  <c r="C13" i="6"/>
  <c r="B13" i="6"/>
  <c r="W12" i="6"/>
  <c r="V12" i="6"/>
  <c r="U12" i="6"/>
  <c r="W3" i="6"/>
  <c r="V3" i="6"/>
  <c r="U3" i="6"/>
  <c r="K3" i="6"/>
  <c r="J3" i="6"/>
  <c r="I3" i="6"/>
  <c r="H3" i="6"/>
  <c r="G3" i="6"/>
  <c r="F3" i="6"/>
  <c r="E3" i="6"/>
  <c r="D3" i="6"/>
  <c r="C3" i="6"/>
  <c r="B3" i="6"/>
</calcChain>
</file>

<file path=xl/sharedStrings.xml><?xml version="1.0" encoding="utf-8"?>
<sst xmlns="http://schemas.openxmlformats.org/spreadsheetml/2006/main" count="420" uniqueCount="85">
  <si>
    <t>경기도 광주시</t>
    <phoneticPr fontId="1" type="noConversion"/>
  </si>
  <si>
    <t>end_district</t>
  </si>
  <si>
    <t>2023년 03월</t>
    <phoneticPr fontId="1" type="noConversion"/>
  </si>
  <si>
    <t>2023년 04월</t>
    <phoneticPr fontId="1" type="noConversion"/>
  </si>
  <si>
    <t>2023년 05월</t>
    <phoneticPr fontId="1" type="noConversion"/>
  </si>
  <si>
    <t>2023년 06월</t>
    <phoneticPr fontId="1" type="noConversion"/>
  </si>
  <si>
    <t>2023년 07월</t>
    <phoneticPr fontId="1" type="noConversion"/>
  </si>
  <si>
    <t>2023년 08월</t>
    <phoneticPr fontId="1" type="noConversion"/>
  </si>
  <si>
    <t>2023년 09월</t>
    <phoneticPr fontId="1" type="noConversion"/>
  </si>
  <si>
    <t>2023년 10월</t>
    <phoneticPr fontId="1" type="noConversion"/>
  </si>
  <si>
    <t>2023년 11월</t>
    <phoneticPr fontId="1" type="noConversion"/>
  </si>
  <si>
    <t>2023년 12월</t>
    <phoneticPr fontId="1" type="noConversion"/>
  </si>
  <si>
    <t>경기도 가평군</t>
  </si>
  <si>
    <t>경기도 고양시</t>
  </si>
  <si>
    <t>경기도 과천시</t>
  </si>
  <si>
    <t>경기도 광명시</t>
  </si>
  <si>
    <t>경기도 구리시</t>
  </si>
  <si>
    <t>경기도 군포시</t>
  </si>
  <si>
    <t>경기도 김포시</t>
  </si>
  <si>
    <t>경기도 남양주시</t>
  </si>
  <si>
    <t>경기도 동두천시</t>
  </si>
  <si>
    <t>경기도 부천시</t>
  </si>
  <si>
    <t>경기도 성남시</t>
  </si>
  <si>
    <t>경기도 수원시</t>
  </si>
  <si>
    <t>경기도 시흥시</t>
  </si>
  <si>
    <t>경기도 안산시</t>
  </si>
  <si>
    <t>경기도 안양시</t>
  </si>
  <si>
    <t>경기도 양주시</t>
  </si>
  <si>
    <t>경기도 양평군</t>
  </si>
  <si>
    <t>경기도 여주시</t>
  </si>
  <si>
    <t>경기도 연천군</t>
  </si>
  <si>
    <t>경기도 오산시</t>
  </si>
  <si>
    <t>경기도 용인시</t>
  </si>
  <si>
    <t>경기도 의왕시</t>
  </si>
  <si>
    <t>경기도 의정부시</t>
  </si>
  <si>
    <t>경기도 이천시</t>
  </si>
  <si>
    <t>경기도 파주시</t>
  </si>
  <si>
    <t>경기도 평택시</t>
  </si>
  <si>
    <t>경기도 하남시</t>
  </si>
  <si>
    <t>경기도 화성시</t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</si>
  <si>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</si>
  <si>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</si>
  <si>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</si>
  <si>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</si>
  <si>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</si>
  <si>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</si>
  <si>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</si>
  <si>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</si>
  <si>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</si>
  <si>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</si>
  <si>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</si>
  <si>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</si>
  <si>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</si>
  <si>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</si>
  <si>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</si>
  <si>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</si>
  <si>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</si>
  <si>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</si>
  <si>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</si>
  <si>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</si>
  <si>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용산구</t>
  </si>
  <si>
    <t>서울특별시 은평구</t>
  </si>
  <si>
    <t>서울특별시 종로구</t>
  </si>
  <si>
    <t>서울특별시 중구</t>
  </si>
  <si>
    <t>서울특별시 중랑구</t>
  </si>
  <si>
    <t>인천광역시 계양구</t>
  </si>
  <si>
    <t>인천광역시 남동구</t>
  </si>
  <si>
    <t>인천광역시 미추홀구</t>
  </si>
  <si>
    <t>인천광역시 부평구</t>
  </si>
  <si>
    <t>인천광역시 서구</t>
  </si>
  <si>
    <t>인천광역시 연수구</t>
  </si>
  <si>
    <t>인천광역시 중구</t>
  </si>
  <si>
    <t>2024년 12월</t>
  </si>
  <si>
    <t>2024년 01월</t>
    <phoneticPr fontId="1" type="noConversion"/>
  </si>
  <si>
    <t>2024년 02월</t>
    <phoneticPr fontId="1" type="noConversion"/>
  </si>
  <si>
    <t>2024년 03월</t>
    <phoneticPr fontId="1" type="noConversion"/>
  </si>
  <si>
    <t>2024년 04월</t>
    <phoneticPr fontId="1" type="noConversion"/>
  </si>
  <si>
    <t>2024년 05월</t>
    <phoneticPr fontId="1" type="noConversion"/>
  </si>
  <si>
    <t>2024년 06월</t>
    <phoneticPr fontId="1" type="noConversion"/>
  </si>
  <si>
    <t>2024년 07월</t>
    <phoneticPr fontId="1" type="noConversion"/>
  </si>
  <si>
    <t>2024년 08월</t>
    <phoneticPr fontId="1" type="noConversion"/>
  </si>
  <si>
    <t>2024년 09월</t>
    <phoneticPr fontId="1" type="noConversion"/>
  </si>
  <si>
    <t>2024년 10월</t>
    <phoneticPr fontId="1" type="noConversion"/>
  </si>
  <si>
    <t>2024년 11월</t>
    <phoneticPr fontId="1" type="noConversion"/>
  </si>
  <si>
    <t>2024년 12월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</si>
</sst>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나눔스퀘어"/>
      <family val="3"/>
      <charset val="129"/>
    </font>
    <font>
      <sz val="11"/>
      <name val="나눔스퀘어"/>
      <family val="3"/>
      <charset val="129"/>
    </font>
    <font>
      <sz val="11"/>
      <color theme="1"/>
      <name val="나눔스퀘어"/>
      <family val="2"/>
      <charset val="129"/>
    </font>
    <font>
      <sz val="11"/>
      <color theme="1"/>
      <name val="나눔스퀘어"/>
      <family val="3"/>
      <charset val="129"/>
    </font>
    <font>
      <b/>
      <sz val="11"/>
      <color theme="1"/>
      <name val="맑은 고딕"/>
      <family val="2"/>
      <charset val="129"/>
      <scheme val="minor"/>
    </font>
    <font>
      <b/>
      <sz val="11"/>
      <color indexed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EBD7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3" fontId="0" fillId="0" borderId="1" xfId="0" applyNumberFormat="1" applyBorder="1" applyAlignment="1">
      <alignment horizontal="right"/>
    </xf>
    <xf numFmtId="0" fontId="0" fillId="0" borderId="0" xfId="0" applyAlignment="1"/>
    <xf numFmtId="3" fontId="3" fillId="0" borderId="1" xfId="0" applyNumberFormat="1" applyFont="1" applyBorder="1">
      <alignment vertical="center"/>
    </xf>
    <xf numFmtId="3" fontId="5" fillId="0" borderId="1" xfId="1" applyNumberFormat="1" applyFont="1" applyBorder="1">
      <alignment vertical="center"/>
    </xf>
    <xf numFmtId="3" fontId="2" fillId="0" borderId="1" xfId="0" applyNumberFormat="1" applyFont="1" applyBorder="1">
      <alignment vertical="center"/>
    </xf>
    <xf numFmtId="0" fontId="0" fillId="0" borderId="1" xfId="0" applyBorder="1" applyAlignment="1"/>
    <xf numFmtId="0" fontId="0" fillId="0" borderId="1" xfId="0" applyBorder="1">
      <alignment vertical="center"/>
    </xf>
    <xf numFmtId="0" fontId="0" fillId="3" borderId="1" xfId="0" applyFill="1" applyBorder="1" applyAlignment="1"/>
    <xf numFmtId="0" fontId="0" fillId="3" borderId="0" xfId="0" applyFill="1">
      <alignment vertical="center"/>
    </xf>
    <xf numFmtId="0" fontId="0" fillId="3" borderId="0" xfId="0" applyFill="1" applyAlignment="1"/>
    <xf numFmtId="0" fontId="6" fillId="3" borderId="1" xfId="0" applyFont="1" applyFill="1" applyBorder="1" applyAlignment="1">
      <alignment horizontal="center" vertical="top"/>
    </xf>
    <xf numFmtId="0" fontId="7" fillId="2" borderId="1" xfId="0" applyFont="1" applyFill="1" applyBorder="1" applyAlignment="1"/>
    <xf numFmtId="0" fontId="7" fillId="0" borderId="0" xfId="0" applyFont="1">
      <alignment vertical="center"/>
    </xf>
  </cellXfs>
  <cellStyles count="2">
    <cellStyle name="표준" xfId="0" builtinId="0"/>
    <cellStyle name="표준 2" xfId="1" xr:uid="{9AABAAC0-414F-F346-956F-E4B66906ED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2"/>
  <sheetViews>
    <sheetView zoomScale="80" zoomScaleNormal="80" workbookViewId="0">
      <selection activeCell="B2" sqref="B2"/>
    </sheetView>
  </sheetViews>
  <sheetFormatPr baseColWidth="10" defaultColWidth="21.1640625" defaultRowHeight="17"/>
  <cols>
    <col min="1" max="1" width="22.33203125" style="10" customWidth="1"/>
  </cols>
  <sheetData>
    <row r="1" spans="1:23" s="13" customFormat="1" ht="20" customHeight="1">
      <c r="A1" s="11" t="s">
        <v>1</v>
      </c>
      <c r="B1" s="12" t="s">
        <v>2</v>
      </c>
      <c r="C1" s="12" t="s">
        <v>3</v>
      </c>
      <c r="D1" s="12" t="s">
        <v>4</v>
      </c>
      <c r="E1" s="12" t="s">
        <v>5</v>
      </c>
      <c r="F1" s="12" t="s">
        <v>6</v>
      </c>
      <c r="G1" s="12" t="s">
        <v>7</v>
      </c>
      <c r="H1" s="12" t="s">
        <v>8</v>
      </c>
      <c r="I1" s="12" t="s">
        <v>9</v>
      </c>
      <c r="J1" s="12" t="s">
        <v>10</v>
      </c>
      <c r="K1" s="12" t="s">
        <v>11</v>
      </c>
      <c r="L1" s="12" t="s">
        <v>73</v>
      </c>
      <c r="M1" s="12" t="s">
        <v>74</v>
      </c>
      <c r="N1" s="12" t="s">
        <v>75</v>
      </c>
      <c r="O1" s="12" t="s">
        <v>76</v>
      </c>
      <c r="P1" s="12" t="s">
        <v>77</v>
      </c>
      <c r="Q1" s="12" t="s">
        <v>78</v>
      </c>
      <c r="R1" s="12" t="s">
        <v>79</v>
      </c>
      <c r="S1" s="12" t="s">
        <v>80</v>
      </c>
      <c r="T1" s="12" t="s">
        <v>81</v>
      </c>
      <c r="U1" s="12" t="s">
        <v>82</v>
      </c>
      <c r="V1" s="12" t="s">
        <v>83</v>
      </c>
      <c r="W1" s="12" t="s">
        <v>84</v>
      </c>
    </row>
    <row r="2" spans="1:23" ht="20" customHeight="1">
      <c r="A2" s="8" t="s">
        <v>12</v>
      </c>
      <c r="B2" s="1">
        <v>32129</v>
      </c>
      <c r="C2" s="1">
        <v>32115</v>
      </c>
      <c r="D2" s="1">
        <v>32124</v>
      </c>
      <c r="E2" s="1">
        <v>32103</v>
      </c>
      <c r="F2" s="1">
        <v>32109</v>
      </c>
      <c r="G2" s="1">
        <v>32135</v>
      </c>
      <c r="H2" s="1">
        <v>32298</v>
      </c>
      <c r="I2" s="1">
        <v>32428</v>
      </c>
      <c r="J2" s="1">
        <v>32496</v>
      </c>
      <c r="K2" s="1">
        <v>32606</v>
      </c>
      <c r="L2" s="1">
        <v>32631</v>
      </c>
      <c r="M2" s="1">
        <v>32682</v>
      </c>
      <c r="N2" s="1">
        <v>32722</v>
      </c>
      <c r="O2" s="1">
        <v>32748</v>
      </c>
      <c r="P2" s="1">
        <v>32855</v>
      </c>
      <c r="Q2" s="1">
        <v>32859</v>
      </c>
      <c r="R2" s="1">
        <v>32925</v>
      </c>
      <c r="S2" s="1">
        <v>32932</v>
      </c>
      <c r="T2" s="1">
        <v>32970</v>
      </c>
      <c r="U2" s="1">
        <v>32985</v>
      </c>
      <c r="V2" s="1">
        <v>32981</v>
      </c>
      <c r="W2" s="1">
        <v>33019</v>
      </c>
    </row>
    <row r="3" spans="1:23" ht="20" customHeight="1">
      <c r="A3" s="8" t="s">
        <v>13</v>
      </c>
      <c r="B3" s="1">
        <v>463390</v>
      </c>
      <c r="C3" s="1">
        <v>463720</v>
      </c>
      <c r="D3" s="1">
        <v>464011</v>
      </c>
      <c r="E3" s="1">
        <v>464205</v>
      </c>
      <c r="F3" s="1">
        <v>464288</v>
      </c>
      <c r="G3" s="1">
        <v>464372</v>
      </c>
      <c r="H3" s="1">
        <v>464584</v>
      </c>
      <c r="I3" s="1">
        <v>464465</v>
      </c>
      <c r="J3" s="1">
        <v>464281</v>
      </c>
      <c r="K3" s="1">
        <v>464380</v>
      </c>
      <c r="L3" s="1">
        <v>464142</v>
      </c>
      <c r="M3" s="1">
        <v>464282</v>
      </c>
      <c r="N3" s="1">
        <v>464343</v>
      </c>
      <c r="O3" s="1">
        <v>464691</v>
      </c>
      <c r="P3" s="1">
        <v>465298</v>
      </c>
      <c r="Q3" s="1">
        <v>465622</v>
      </c>
      <c r="R3" s="1">
        <v>465788</v>
      </c>
      <c r="S3" s="1">
        <v>465816</v>
      </c>
      <c r="T3" s="1">
        <v>466117</v>
      </c>
      <c r="U3" s="1">
        <v>466234</v>
      </c>
      <c r="V3" s="1">
        <v>466127</v>
      </c>
      <c r="W3" s="1">
        <v>466229</v>
      </c>
    </row>
    <row r="4" spans="1:23" ht="20" customHeight="1">
      <c r="A4" s="8" t="s">
        <v>14</v>
      </c>
      <c r="B4" s="1">
        <v>28863</v>
      </c>
      <c r="C4" s="1">
        <v>28952</v>
      </c>
      <c r="D4" s="1">
        <v>29102</v>
      </c>
      <c r="E4" s="1">
        <v>29205</v>
      </c>
      <c r="F4" s="1">
        <v>29502</v>
      </c>
      <c r="G4" s="1">
        <v>29591</v>
      </c>
      <c r="H4" s="1">
        <v>29536</v>
      </c>
      <c r="I4" s="1">
        <v>29404</v>
      </c>
      <c r="J4" s="1">
        <v>29257</v>
      </c>
      <c r="K4" s="1">
        <v>29194</v>
      </c>
      <c r="L4" s="1">
        <v>29195</v>
      </c>
      <c r="M4" s="1">
        <v>29506</v>
      </c>
      <c r="N4" s="1">
        <v>29937</v>
      </c>
      <c r="O4" s="1">
        <v>30110</v>
      </c>
      <c r="P4" s="1">
        <v>30411</v>
      </c>
      <c r="Q4" s="1">
        <v>30664</v>
      </c>
      <c r="R4" s="1">
        <v>30735</v>
      </c>
      <c r="S4" s="1">
        <v>30799</v>
      </c>
      <c r="T4" s="1">
        <v>30831</v>
      </c>
      <c r="U4" s="1">
        <v>30860</v>
      </c>
      <c r="V4" s="1">
        <v>30856</v>
      </c>
      <c r="W4" s="1">
        <v>30874</v>
      </c>
    </row>
    <row r="5" spans="1:23" ht="20" customHeight="1">
      <c r="A5" s="8" t="s">
        <v>15</v>
      </c>
      <c r="B5" s="1">
        <v>117176</v>
      </c>
      <c r="C5" s="1">
        <v>116567</v>
      </c>
      <c r="D5" s="1">
        <v>116088</v>
      </c>
      <c r="E5" s="1">
        <v>115690</v>
      </c>
      <c r="F5" s="1">
        <v>115290</v>
      </c>
      <c r="G5" s="1">
        <v>115144</v>
      </c>
      <c r="H5" s="1">
        <v>115057</v>
      </c>
      <c r="I5" s="1">
        <v>115080</v>
      </c>
      <c r="J5" s="1">
        <v>115117</v>
      </c>
      <c r="K5" s="1">
        <v>115114</v>
      </c>
      <c r="L5" s="1">
        <v>115063</v>
      </c>
      <c r="M5" s="1">
        <v>114990</v>
      </c>
      <c r="N5" s="1">
        <v>114927</v>
      </c>
      <c r="O5" s="1">
        <v>114854</v>
      </c>
      <c r="P5" s="1">
        <v>114807</v>
      </c>
      <c r="Q5" s="1">
        <v>114769</v>
      </c>
      <c r="R5" s="1">
        <v>114752</v>
      </c>
      <c r="S5" s="1">
        <v>114663</v>
      </c>
      <c r="T5" s="1">
        <v>114591</v>
      </c>
      <c r="U5" s="1">
        <v>114491</v>
      </c>
      <c r="V5" s="1">
        <v>114765</v>
      </c>
      <c r="W5" s="1">
        <v>115024</v>
      </c>
    </row>
    <row r="6" spans="1:23" ht="20" customHeight="1">
      <c r="A6" s="8" t="s">
        <v>0</v>
      </c>
      <c r="B6" s="1">
        <v>170413</v>
      </c>
      <c r="C6" s="1">
        <v>170331</v>
      </c>
      <c r="D6" s="1">
        <v>170514</v>
      </c>
      <c r="E6" s="1">
        <v>170810</v>
      </c>
      <c r="F6" s="1">
        <v>171063</v>
      </c>
      <c r="G6" s="1">
        <v>171094</v>
      </c>
      <c r="H6" s="1">
        <v>171088</v>
      </c>
      <c r="I6" s="1">
        <v>170992</v>
      </c>
      <c r="J6" s="1">
        <v>170830</v>
      </c>
      <c r="K6" s="1">
        <v>170845</v>
      </c>
      <c r="L6" s="1">
        <v>171127</v>
      </c>
      <c r="M6" s="1">
        <v>171404</v>
      </c>
      <c r="N6" s="1">
        <v>171683</v>
      </c>
      <c r="O6" s="1">
        <v>171889</v>
      </c>
      <c r="P6" s="1">
        <v>172038</v>
      </c>
      <c r="Q6" s="1">
        <v>172209</v>
      </c>
      <c r="R6" s="1">
        <v>172776</v>
      </c>
      <c r="S6" s="1">
        <v>173278</v>
      </c>
      <c r="T6" s="1">
        <v>173857</v>
      </c>
      <c r="U6" s="1">
        <v>174512</v>
      </c>
      <c r="V6" s="1">
        <v>174813</v>
      </c>
      <c r="W6" s="1">
        <v>174806</v>
      </c>
    </row>
    <row r="7" spans="1:23" ht="20" customHeight="1">
      <c r="A7" s="8" t="s">
        <v>16</v>
      </c>
      <c r="B7" s="1">
        <v>80600</v>
      </c>
      <c r="C7" s="1">
        <v>80678</v>
      </c>
      <c r="D7" s="1">
        <v>80662</v>
      </c>
      <c r="E7" s="1">
        <v>80657</v>
      </c>
      <c r="F7" s="1">
        <v>80721</v>
      </c>
      <c r="G7" s="1">
        <v>80722</v>
      </c>
      <c r="H7" s="1">
        <v>80724</v>
      </c>
      <c r="I7" s="1">
        <v>80566</v>
      </c>
      <c r="J7" s="1">
        <v>80457</v>
      </c>
      <c r="K7" s="1">
        <v>80450</v>
      </c>
      <c r="L7" s="1">
        <v>80478</v>
      </c>
      <c r="M7" s="1">
        <v>80513</v>
      </c>
      <c r="N7" s="1">
        <v>80456</v>
      </c>
      <c r="O7" s="1">
        <v>80444</v>
      </c>
      <c r="P7" s="1">
        <v>80523</v>
      </c>
      <c r="Q7" s="1">
        <v>80720</v>
      </c>
      <c r="R7" s="1">
        <v>80867</v>
      </c>
      <c r="S7" s="1">
        <v>80995</v>
      </c>
      <c r="T7" s="1">
        <v>81032</v>
      </c>
      <c r="U7" s="1">
        <v>81125</v>
      </c>
      <c r="V7" s="1">
        <v>81176</v>
      </c>
      <c r="W7" s="1">
        <v>81288</v>
      </c>
    </row>
    <row r="8" spans="1:23" ht="20" customHeight="1">
      <c r="A8" s="8" t="s">
        <v>17</v>
      </c>
      <c r="B8" s="1">
        <v>113815</v>
      </c>
      <c r="C8" s="1">
        <v>113767</v>
      </c>
      <c r="D8" s="1">
        <v>113785</v>
      </c>
      <c r="E8" s="1">
        <v>113765</v>
      </c>
      <c r="F8" s="1">
        <v>113727</v>
      </c>
      <c r="G8" s="1">
        <v>113656</v>
      </c>
      <c r="H8" s="1">
        <v>113530</v>
      </c>
      <c r="I8" s="1">
        <v>113368</v>
      </c>
      <c r="J8" s="1">
        <v>113148</v>
      </c>
      <c r="K8" s="1">
        <v>113032</v>
      </c>
      <c r="L8" s="1">
        <v>112964</v>
      </c>
      <c r="M8" s="1">
        <v>112921</v>
      </c>
      <c r="N8" s="1">
        <v>112938</v>
      </c>
      <c r="O8" s="1">
        <v>112979</v>
      </c>
      <c r="P8" s="1">
        <v>112933</v>
      </c>
      <c r="Q8" s="1">
        <v>112863</v>
      </c>
      <c r="R8" s="1">
        <v>112852</v>
      </c>
      <c r="S8" s="1">
        <v>112733</v>
      </c>
      <c r="T8" s="1">
        <v>112636</v>
      </c>
      <c r="U8" s="1">
        <v>112476</v>
      </c>
      <c r="V8" s="1">
        <v>112343</v>
      </c>
      <c r="W8" s="1">
        <v>112293</v>
      </c>
    </row>
    <row r="9" spans="1:23" ht="20" customHeight="1">
      <c r="A9" s="8" t="s">
        <v>18</v>
      </c>
      <c r="B9" s="1">
        <v>202844</v>
      </c>
      <c r="C9" s="1">
        <v>202985</v>
      </c>
      <c r="D9" s="1">
        <v>203362</v>
      </c>
      <c r="E9" s="1">
        <v>203888</v>
      </c>
      <c r="F9" s="1">
        <v>204179</v>
      </c>
      <c r="G9" s="1">
        <v>204350</v>
      </c>
      <c r="H9" s="1">
        <v>204388</v>
      </c>
      <c r="I9" s="1">
        <v>204454</v>
      </c>
      <c r="J9" s="1">
        <v>204551</v>
      </c>
      <c r="K9" s="1">
        <v>204594</v>
      </c>
      <c r="L9" s="1">
        <v>204724</v>
      </c>
      <c r="M9" s="1">
        <v>204935</v>
      </c>
      <c r="N9" s="1">
        <v>205085</v>
      </c>
      <c r="O9" s="1">
        <v>205111</v>
      </c>
      <c r="P9" s="1">
        <v>205354</v>
      </c>
      <c r="Q9" s="1">
        <v>205574</v>
      </c>
      <c r="R9" s="1">
        <v>205702</v>
      </c>
      <c r="S9" s="1">
        <v>205868</v>
      </c>
      <c r="T9" s="1">
        <v>205924</v>
      </c>
      <c r="U9" s="1">
        <v>206071</v>
      </c>
      <c r="V9" s="1">
        <v>206253</v>
      </c>
      <c r="W9" s="1">
        <v>206388</v>
      </c>
    </row>
    <row r="10" spans="1:23" ht="20" customHeight="1">
      <c r="A10" s="8" t="s">
        <v>19</v>
      </c>
      <c r="B10" s="1">
        <v>304416</v>
      </c>
      <c r="C10" s="1">
        <v>304523</v>
      </c>
      <c r="D10" s="1">
        <v>304558</v>
      </c>
      <c r="E10" s="1">
        <v>304525</v>
      </c>
      <c r="F10" s="1">
        <v>304328</v>
      </c>
      <c r="G10" s="1">
        <v>304171</v>
      </c>
      <c r="H10" s="1">
        <v>304040</v>
      </c>
      <c r="I10" s="1">
        <v>304119</v>
      </c>
      <c r="J10" s="1">
        <v>304439</v>
      </c>
      <c r="K10" s="1">
        <v>304768</v>
      </c>
      <c r="L10" s="1">
        <v>305063</v>
      </c>
      <c r="M10" s="1">
        <v>305385</v>
      </c>
      <c r="N10" s="1">
        <v>305899</v>
      </c>
      <c r="O10" s="1">
        <v>306345</v>
      </c>
      <c r="P10" s="1">
        <v>306597</v>
      </c>
      <c r="Q10" s="1">
        <v>306741</v>
      </c>
      <c r="R10" s="1">
        <v>306922</v>
      </c>
      <c r="S10" s="1">
        <v>307063</v>
      </c>
      <c r="T10" s="1">
        <v>307137</v>
      </c>
      <c r="U10" s="1">
        <v>307216</v>
      </c>
      <c r="V10" s="1">
        <v>307314</v>
      </c>
      <c r="W10" s="1">
        <v>307424</v>
      </c>
    </row>
    <row r="11" spans="1:23" ht="20" customHeight="1">
      <c r="A11" s="8" t="s">
        <v>20</v>
      </c>
      <c r="B11" s="1">
        <v>43756</v>
      </c>
      <c r="C11" s="1">
        <v>43744</v>
      </c>
      <c r="D11" s="1">
        <v>43669</v>
      </c>
      <c r="E11" s="1">
        <v>43549</v>
      </c>
      <c r="F11" s="1">
        <v>43455</v>
      </c>
      <c r="G11" s="1">
        <v>43419</v>
      </c>
      <c r="H11" s="1">
        <v>43398</v>
      </c>
      <c r="I11" s="1">
        <v>43356</v>
      </c>
      <c r="J11" s="1">
        <v>43361</v>
      </c>
      <c r="K11" s="1">
        <v>43366</v>
      </c>
      <c r="L11" s="1">
        <v>43366</v>
      </c>
      <c r="M11" s="1">
        <v>43317</v>
      </c>
      <c r="N11" s="1">
        <v>43235</v>
      </c>
      <c r="O11" s="1">
        <v>43213</v>
      </c>
      <c r="P11" s="1">
        <v>43223</v>
      </c>
      <c r="Q11" s="1">
        <v>43221</v>
      </c>
      <c r="R11" s="1">
        <v>43240</v>
      </c>
      <c r="S11" s="1">
        <v>43177</v>
      </c>
      <c r="T11" s="1">
        <v>43156</v>
      </c>
      <c r="U11" s="1">
        <v>43098</v>
      </c>
      <c r="V11" s="1">
        <v>43107</v>
      </c>
      <c r="W11" s="1">
        <v>43096</v>
      </c>
    </row>
    <row r="12" spans="1:23" ht="20" customHeight="1">
      <c r="A12" s="8" t="s">
        <v>21</v>
      </c>
      <c r="B12" s="1">
        <v>344953</v>
      </c>
      <c r="C12" s="1">
        <v>345532</v>
      </c>
      <c r="D12" s="1">
        <v>345786</v>
      </c>
      <c r="E12" s="1">
        <v>345802</v>
      </c>
      <c r="F12" s="1">
        <v>345756</v>
      </c>
      <c r="G12" s="1">
        <v>345530</v>
      </c>
      <c r="H12" s="1">
        <v>345286</v>
      </c>
      <c r="I12" s="1">
        <v>344793</v>
      </c>
      <c r="J12" s="1">
        <v>344217</v>
      </c>
      <c r="K12" s="1">
        <v>344096</v>
      </c>
      <c r="L12" s="1">
        <v>343955</v>
      </c>
      <c r="M12" s="1">
        <v>343899</v>
      </c>
      <c r="N12" s="1">
        <v>343775</v>
      </c>
      <c r="O12" s="1">
        <v>343697</v>
      </c>
      <c r="P12" s="1">
        <v>343804</v>
      </c>
      <c r="Q12" s="1">
        <v>343875</v>
      </c>
      <c r="R12" s="1">
        <v>343873</v>
      </c>
      <c r="S12" s="1">
        <v>343854</v>
      </c>
      <c r="T12" s="1">
        <v>343858</v>
      </c>
      <c r="U12" s="1">
        <v>343479</v>
      </c>
      <c r="V12" s="1">
        <v>343391</v>
      </c>
      <c r="W12" s="1">
        <v>343433</v>
      </c>
    </row>
    <row r="13" spans="1:23" ht="20" customHeight="1">
      <c r="A13" s="8" t="s">
        <v>22</v>
      </c>
      <c r="B13" s="1">
        <v>409453</v>
      </c>
      <c r="C13" s="1">
        <v>409447</v>
      </c>
      <c r="D13" s="1">
        <v>409505</v>
      </c>
      <c r="E13" s="1">
        <v>409179</v>
      </c>
      <c r="F13" s="1">
        <v>408608</v>
      </c>
      <c r="G13" s="1">
        <v>408085</v>
      </c>
      <c r="H13" s="1">
        <v>407836</v>
      </c>
      <c r="I13" s="1">
        <v>407805</v>
      </c>
      <c r="J13" s="1">
        <v>408860</v>
      </c>
      <c r="K13" s="1">
        <v>409602</v>
      </c>
      <c r="L13" s="1">
        <v>409989</v>
      </c>
      <c r="M13" s="1">
        <v>410544</v>
      </c>
      <c r="N13" s="1">
        <v>410870</v>
      </c>
      <c r="O13" s="1">
        <v>410855</v>
      </c>
      <c r="P13" s="1">
        <v>410743</v>
      </c>
      <c r="Q13" s="1">
        <v>410877</v>
      </c>
      <c r="R13" s="1">
        <v>410971</v>
      </c>
      <c r="S13" s="1">
        <v>410899</v>
      </c>
      <c r="T13" s="1">
        <v>410617</v>
      </c>
      <c r="U13" s="1">
        <v>410425</v>
      </c>
      <c r="V13" s="1">
        <v>410292</v>
      </c>
      <c r="W13" s="1">
        <v>410242</v>
      </c>
    </row>
    <row r="14" spans="1:23" ht="20" customHeight="1">
      <c r="A14" s="8" t="s">
        <v>23</v>
      </c>
      <c r="B14" s="1">
        <v>530780</v>
      </c>
      <c r="C14" s="1">
        <v>531034</v>
      </c>
      <c r="D14" s="1">
        <v>531460</v>
      </c>
      <c r="E14" s="1">
        <v>532199</v>
      </c>
      <c r="F14" s="1">
        <v>533196</v>
      </c>
      <c r="G14" s="1">
        <v>534722</v>
      </c>
      <c r="H14" s="1">
        <v>535414</v>
      </c>
      <c r="I14" s="1">
        <v>536194</v>
      </c>
      <c r="J14" s="1">
        <v>536680</v>
      </c>
      <c r="K14" s="1">
        <v>537078</v>
      </c>
      <c r="L14" s="1">
        <v>537396</v>
      </c>
      <c r="M14" s="1">
        <v>538232</v>
      </c>
      <c r="N14" s="1">
        <v>539167</v>
      </c>
      <c r="O14" s="1">
        <v>539750</v>
      </c>
      <c r="P14" s="1">
        <v>540606</v>
      </c>
      <c r="Q14" s="1">
        <v>540725</v>
      </c>
      <c r="R14" s="1">
        <v>540999</v>
      </c>
      <c r="S14" s="1">
        <v>541156</v>
      </c>
      <c r="T14" s="1">
        <v>540957</v>
      </c>
      <c r="U14" s="1">
        <v>540653</v>
      </c>
      <c r="V14" s="1">
        <v>540685</v>
      </c>
      <c r="W14" s="1">
        <v>540719</v>
      </c>
    </row>
    <row r="15" spans="1:23" ht="20" customHeight="1">
      <c r="A15" s="8" t="s">
        <v>24</v>
      </c>
      <c r="B15" s="1">
        <v>226247</v>
      </c>
      <c r="C15" s="1">
        <v>226779</v>
      </c>
      <c r="D15" s="1">
        <v>227098</v>
      </c>
      <c r="E15" s="1">
        <v>227202</v>
      </c>
      <c r="F15" s="1">
        <v>227318</v>
      </c>
      <c r="G15" s="1">
        <v>227315</v>
      </c>
      <c r="H15" s="1">
        <v>227537</v>
      </c>
      <c r="I15" s="1">
        <v>227973</v>
      </c>
      <c r="J15" s="1">
        <v>228282</v>
      </c>
      <c r="K15" s="1">
        <v>228474</v>
      </c>
      <c r="L15" s="1">
        <v>228275</v>
      </c>
      <c r="M15" s="1">
        <v>228354</v>
      </c>
      <c r="N15" s="1">
        <v>228830</v>
      </c>
      <c r="O15" s="1">
        <v>228942</v>
      </c>
      <c r="P15" s="1">
        <v>228932</v>
      </c>
      <c r="Q15" s="1">
        <v>228947</v>
      </c>
      <c r="R15" s="1">
        <v>228978</v>
      </c>
      <c r="S15" s="1">
        <v>229078</v>
      </c>
      <c r="T15" s="1">
        <v>229371</v>
      </c>
      <c r="U15" s="1">
        <v>229392</v>
      </c>
      <c r="V15" s="1">
        <v>229463</v>
      </c>
      <c r="W15" s="1">
        <v>229340</v>
      </c>
    </row>
    <row r="16" spans="1:23" ht="20" customHeight="1">
      <c r="A16" s="8" t="s">
        <v>25</v>
      </c>
      <c r="B16" s="1">
        <v>290834</v>
      </c>
      <c r="C16" s="1">
        <v>290762</v>
      </c>
      <c r="D16" s="1">
        <v>290701</v>
      </c>
      <c r="E16" s="1">
        <v>290677</v>
      </c>
      <c r="F16" s="1">
        <v>290400</v>
      </c>
      <c r="G16" s="1">
        <v>290189</v>
      </c>
      <c r="H16" s="1">
        <v>289923</v>
      </c>
      <c r="I16" s="1">
        <v>289404</v>
      </c>
      <c r="J16" s="1">
        <v>288895</v>
      </c>
      <c r="K16" s="1">
        <v>288567</v>
      </c>
      <c r="L16" s="1">
        <v>288501</v>
      </c>
      <c r="M16" s="1">
        <v>288676</v>
      </c>
      <c r="N16" s="1">
        <v>288920</v>
      </c>
      <c r="O16" s="1">
        <v>288799</v>
      </c>
      <c r="P16" s="1">
        <v>288964</v>
      </c>
      <c r="Q16" s="1">
        <v>289009</v>
      </c>
      <c r="R16" s="1">
        <v>289025</v>
      </c>
      <c r="S16" s="1">
        <v>288895</v>
      </c>
      <c r="T16" s="1">
        <v>288821</v>
      </c>
      <c r="U16" s="1">
        <v>288435</v>
      </c>
      <c r="V16" s="1">
        <v>288258</v>
      </c>
      <c r="W16" s="1">
        <v>288070</v>
      </c>
    </row>
    <row r="17" spans="1:23" ht="20" customHeight="1">
      <c r="A17" s="8" t="s">
        <v>26</v>
      </c>
      <c r="B17" s="1">
        <v>227576</v>
      </c>
      <c r="C17" s="1">
        <v>227481</v>
      </c>
      <c r="D17" s="1">
        <v>227358</v>
      </c>
      <c r="E17" s="1">
        <v>227361</v>
      </c>
      <c r="F17" s="1">
        <v>227357</v>
      </c>
      <c r="G17" s="1">
        <v>227349</v>
      </c>
      <c r="H17" s="1">
        <v>227220</v>
      </c>
      <c r="I17" s="1">
        <v>227035</v>
      </c>
      <c r="J17" s="1">
        <v>226925</v>
      </c>
      <c r="K17" s="1">
        <v>227627</v>
      </c>
      <c r="L17" s="1">
        <v>228314</v>
      </c>
      <c r="M17" s="1">
        <v>228778</v>
      </c>
      <c r="N17" s="1">
        <v>228952</v>
      </c>
      <c r="O17" s="1">
        <v>229066</v>
      </c>
      <c r="P17" s="1">
        <v>229235</v>
      </c>
      <c r="Q17" s="1">
        <v>229553</v>
      </c>
      <c r="R17" s="1">
        <v>230511</v>
      </c>
      <c r="S17" s="1">
        <v>231357</v>
      </c>
      <c r="T17" s="1">
        <v>232278</v>
      </c>
      <c r="U17" s="1">
        <v>233172</v>
      </c>
      <c r="V17" s="1">
        <v>234133</v>
      </c>
      <c r="W17" s="1">
        <v>235171</v>
      </c>
    </row>
    <row r="18" spans="1:23" ht="20" customHeight="1">
      <c r="A18" s="8" t="s">
        <v>27</v>
      </c>
      <c r="B18" s="1">
        <v>109674</v>
      </c>
      <c r="C18" s="1">
        <v>110460</v>
      </c>
      <c r="D18" s="1">
        <v>111817</v>
      </c>
      <c r="E18" s="1">
        <v>113372</v>
      </c>
      <c r="F18" s="1">
        <v>114407</v>
      </c>
      <c r="G18" s="1">
        <v>115083</v>
      </c>
      <c r="H18" s="1">
        <v>115625</v>
      </c>
      <c r="I18" s="1">
        <v>116240</v>
      </c>
      <c r="J18" s="1">
        <v>116773</v>
      </c>
      <c r="K18" s="1">
        <v>117518</v>
      </c>
      <c r="L18" s="1">
        <v>118220</v>
      </c>
      <c r="M18" s="1">
        <v>119570</v>
      </c>
      <c r="N18" s="1">
        <v>121093</v>
      </c>
      <c r="O18" s="1">
        <v>121968</v>
      </c>
      <c r="P18" s="1">
        <v>122862</v>
      </c>
      <c r="Q18" s="1">
        <v>123701</v>
      </c>
      <c r="R18" s="1">
        <v>124746</v>
      </c>
      <c r="S18" s="1">
        <v>125721</v>
      </c>
      <c r="T18" s="1">
        <v>126535</v>
      </c>
      <c r="U18" s="1">
        <v>127242</v>
      </c>
      <c r="V18" s="1">
        <v>127840</v>
      </c>
      <c r="W18" s="1">
        <v>128336</v>
      </c>
    </row>
    <row r="19" spans="1:23" ht="20" customHeight="1">
      <c r="A19" s="8" t="s">
        <v>28</v>
      </c>
      <c r="B19" s="1">
        <v>60195</v>
      </c>
      <c r="C19" s="1">
        <v>60273</v>
      </c>
      <c r="D19" s="1">
        <v>60418</v>
      </c>
      <c r="E19" s="1">
        <v>60479</v>
      </c>
      <c r="F19" s="1">
        <v>60585</v>
      </c>
      <c r="G19" s="1">
        <v>60853</v>
      </c>
      <c r="H19" s="1">
        <v>60986</v>
      </c>
      <c r="I19" s="1">
        <v>61341</v>
      </c>
      <c r="J19" s="1">
        <v>61655</v>
      </c>
      <c r="K19" s="1">
        <v>61811</v>
      </c>
      <c r="L19" s="1">
        <v>61906</v>
      </c>
      <c r="M19" s="1">
        <v>62116</v>
      </c>
      <c r="N19" s="1">
        <v>62245</v>
      </c>
      <c r="O19" s="1">
        <v>62421</v>
      </c>
      <c r="P19" s="1">
        <v>62594</v>
      </c>
      <c r="Q19" s="1">
        <v>62676</v>
      </c>
      <c r="R19" s="1">
        <v>62802</v>
      </c>
      <c r="S19" s="1">
        <v>62867</v>
      </c>
      <c r="T19" s="1">
        <v>62932</v>
      </c>
      <c r="U19" s="1">
        <v>63020</v>
      </c>
      <c r="V19" s="1">
        <v>63029</v>
      </c>
      <c r="W19" s="1">
        <v>63101</v>
      </c>
    </row>
    <row r="20" spans="1:23" ht="20" customHeight="1">
      <c r="A20" s="8" t="s">
        <v>29</v>
      </c>
      <c r="B20" s="1">
        <v>54241</v>
      </c>
      <c r="C20" s="1">
        <v>54349</v>
      </c>
      <c r="D20" s="1">
        <v>54641</v>
      </c>
      <c r="E20" s="1">
        <v>54907</v>
      </c>
      <c r="F20" s="1">
        <v>55037</v>
      </c>
      <c r="G20" s="1">
        <v>55128</v>
      </c>
      <c r="H20" s="1">
        <v>55294</v>
      </c>
      <c r="I20" s="1">
        <v>55381</v>
      </c>
      <c r="J20" s="1">
        <v>55401</v>
      </c>
      <c r="K20" s="1">
        <v>55514</v>
      </c>
      <c r="L20" s="1">
        <v>55566</v>
      </c>
      <c r="M20" s="1">
        <v>55641</v>
      </c>
      <c r="N20" s="1">
        <v>55789</v>
      </c>
      <c r="O20" s="1">
        <v>55875</v>
      </c>
      <c r="P20" s="1">
        <v>56013</v>
      </c>
      <c r="Q20" s="1">
        <v>56095</v>
      </c>
      <c r="R20" s="1">
        <v>56156</v>
      </c>
      <c r="S20" s="1">
        <v>56217</v>
      </c>
      <c r="T20" s="1">
        <v>56298</v>
      </c>
      <c r="U20" s="1">
        <v>56360</v>
      </c>
      <c r="V20" s="1">
        <v>56384</v>
      </c>
      <c r="W20" s="1">
        <v>56400</v>
      </c>
    </row>
    <row r="21" spans="1:23" ht="20" customHeight="1">
      <c r="A21" s="8" t="s">
        <v>30</v>
      </c>
      <c r="B21" s="1">
        <v>21807</v>
      </c>
      <c r="C21" s="1">
        <v>21811</v>
      </c>
      <c r="D21" s="1">
        <v>21871</v>
      </c>
      <c r="E21" s="1">
        <v>21952</v>
      </c>
      <c r="F21" s="1">
        <v>21973</v>
      </c>
      <c r="G21" s="1">
        <v>21943</v>
      </c>
      <c r="H21" s="1">
        <v>21954</v>
      </c>
      <c r="I21" s="1">
        <v>21947</v>
      </c>
      <c r="J21" s="1">
        <v>21934</v>
      </c>
      <c r="K21" s="1">
        <v>21943</v>
      </c>
      <c r="L21" s="1">
        <v>21920</v>
      </c>
      <c r="M21" s="1">
        <v>21876</v>
      </c>
      <c r="N21" s="1">
        <v>21840</v>
      </c>
      <c r="O21" s="1">
        <v>21794</v>
      </c>
      <c r="P21" s="1">
        <v>21798</v>
      </c>
      <c r="Q21" s="1">
        <v>21799</v>
      </c>
      <c r="R21" s="1">
        <v>21776</v>
      </c>
      <c r="S21" s="1">
        <v>21749</v>
      </c>
      <c r="T21" s="1">
        <v>21729</v>
      </c>
      <c r="U21" s="1">
        <v>21709</v>
      </c>
      <c r="V21" s="1">
        <v>21696</v>
      </c>
      <c r="W21" s="1">
        <v>21750</v>
      </c>
    </row>
    <row r="22" spans="1:23" ht="20" customHeight="1">
      <c r="A22" s="8" t="s">
        <v>31</v>
      </c>
      <c r="B22" s="1">
        <v>103658</v>
      </c>
      <c r="C22" s="1">
        <v>103728</v>
      </c>
      <c r="D22" s="1">
        <v>103793</v>
      </c>
      <c r="E22" s="1">
        <v>103859</v>
      </c>
      <c r="F22" s="1">
        <v>103975</v>
      </c>
      <c r="G22" s="1">
        <v>104109</v>
      </c>
      <c r="H22" s="1">
        <v>104317</v>
      </c>
      <c r="I22" s="1">
        <v>104401</v>
      </c>
      <c r="J22" s="1">
        <v>104460</v>
      </c>
      <c r="K22" s="1">
        <v>104437</v>
      </c>
      <c r="L22" s="1">
        <v>104802</v>
      </c>
      <c r="M22" s="1">
        <v>105798</v>
      </c>
      <c r="N22" s="1">
        <v>106435</v>
      </c>
      <c r="O22" s="1">
        <v>107219</v>
      </c>
      <c r="P22" s="1">
        <v>107868</v>
      </c>
      <c r="Q22" s="1">
        <v>108546</v>
      </c>
      <c r="R22" s="1">
        <v>109071</v>
      </c>
      <c r="S22" s="1">
        <v>109422</v>
      </c>
      <c r="T22" s="1">
        <v>109589</v>
      </c>
      <c r="U22" s="1">
        <v>109956</v>
      </c>
      <c r="V22" s="1">
        <v>110710</v>
      </c>
      <c r="W22" s="1">
        <v>111036</v>
      </c>
    </row>
    <row r="23" spans="1:23" ht="20" customHeight="1">
      <c r="A23" s="8" t="s">
        <v>32</v>
      </c>
      <c r="B23" s="1">
        <v>432631</v>
      </c>
      <c r="C23" s="1">
        <v>433232</v>
      </c>
      <c r="D23" s="1">
        <v>433765</v>
      </c>
      <c r="E23" s="1">
        <v>434523</v>
      </c>
      <c r="F23" s="1">
        <v>435142</v>
      </c>
      <c r="G23" s="1">
        <v>435499</v>
      </c>
      <c r="H23" s="1">
        <v>435434</v>
      </c>
      <c r="I23" s="1">
        <v>435212</v>
      </c>
      <c r="J23" s="1">
        <v>435090</v>
      </c>
      <c r="K23" s="1">
        <v>435340</v>
      </c>
      <c r="L23" s="1">
        <v>436376</v>
      </c>
      <c r="M23" s="1">
        <v>437370</v>
      </c>
      <c r="N23" s="1">
        <v>437965</v>
      </c>
      <c r="O23" s="1">
        <v>438870</v>
      </c>
      <c r="P23" s="1">
        <v>440100</v>
      </c>
      <c r="Q23" s="1">
        <v>440803</v>
      </c>
      <c r="R23" s="1">
        <v>441516</v>
      </c>
      <c r="S23" s="1">
        <v>442039</v>
      </c>
      <c r="T23" s="1">
        <v>442779</v>
      </c>
      <c r="U23" s="1">
        <v>443199</v>
      </c>
      <c r="V23" s="1">
        <v>442974</v>
      </c>
      <c r="W23" s="1">
        <v>443702</v>
      </c>
    </row>
    <row r="24" spans="1:23" ht="20" customHeight="1">
      <c r="A24" s="8" t="s">
        <v>33</v>
      </c>
      <c r="B24" s="1">
        <v>64440</v>
      </c>
      <c r="C24" s="1">
        <v>64255</v>
      </c>
      <c r="D24" s="1">
        <v>64046</v>
      </c>
      <c r="E24" s="1">
        <v>63911</v>
      </c>
      <c r="F24" s="1">
        <v>63796</v>
      </c>
      <c r="G24" s="1">
        <v>63745</v>
      </c>
      <c r="H24" s="1">
        <v>63969</v>
      </c>
      <c r="I24" s="1">
        <v>64086</v>
      </c>
      <c r="J24" s="1">
        <v>64462</v>
      </c>
      <c r="K24" s="1">
        <v>64402</v>
      </c>
      <c r="L24" s="1">
        <v>64167</v>
      </c>
      <c r="M24" s="1">
        <v>64037</v>
      </c>
      <c r="N24" s="1">
        <v>63826</v>
      </c>
      <c r="O24" s="1">
        <v>63514</v>
      </c>
      <c r="P24" s="1">
        <v>63192</v>
      </c>
      <c r="Q24" s="1">
        <v>63112</v>
      </c>
      <c r="R24" s="1">
        <v>63066</v>
      </c>
      <c r="S24" s="1">
        <v>62997</v>
      </c>
      <c r="T24" s="1">
        <v>62959</v>
      </c>
      <c r="U24" s="1">
        <v>62845</v>
      </c>
      <c r="V24" s="1">
        <v>62856</v>
      </c>
      <c r="W24" s="1">
        <v>62798</v>
      </c>
    </row>
    <row r="25" spans="1:23" ht="20" customHeight="1">
      <c r="A25" s="8" t="s">
        <v>34</v>
      </c>
      <c r="B25" s="1">
        <v>208340</v>
      </c>
      <c r="C25" s="1">
        <v>208358</v>
      </c>
      <c r="D25" s="1">
        <v>208483</v>
      </c>
      <c r="E25" s="1">
        <v>209246</v>
      </c>
      <c r="F25" s="1">
        <v>209685</v>
      </c>
      <c r="G25" s="1">
        <v>209775</v>
      </c>
      <c r="H25" s="1">
        <v>209929</v>
      </c>
      <c r="I25" s="1">
        <v>209988</v>
      </c>
      <c r="J25" s="1">
        <v>209985</v>
      </c>
      <c r="K25" s="1">
        <v>209891</v>
      </c>
      <c r="L25" s="1">
        <v>209794</v>
      </c>
      <c r="M25" s="1">
        <v>209779</v>
      </c>
      <c r="N25" s="1">
        <v>209769</v>
      </c>
      <c r="O25" s="1">
        <v>209716</v>
      </c>
      <c r="P25" s="1">
        <v>209721</v>
      </c>
      <c r="Q25" s="1">
        <v>209610</v>
      </c>
      <c r="R25" s="1">
        <v>209504</v>
      </c>
      <c r="S25" s="1">
        <v>209495</v>
      </c>
      <c r="T25" s="1">
        <v>209535</v>
      </c>
      <c r="U25" s="1">
        <v>209749</v>
      </c>
      <c r="V25" s="1">
        <v>210070</v>
      </c>
      <c r="W25" s="1">
        <v>210264</v>
      </c>
    </row>
    <row r="26" spans="1:23" ht="20" customHeight="1">
      <c r="A26" s="8" t="s">
        <v>35</v>
      </c>
      <c r="B26" s="1">
        <v>102774</v>
      </c>
      <c r="C26" s="1">
        <v>103063</v>
      </c>
      <c r="D26" s="1">
        <v>103284</v>
      </c>
      <c r="E26" s="1">
        <v>104186</v>
      </c>
      <c r="F26" s="1">
        <v>104749</v>
      </c>
      <c r="G26" s="1">
        <v>104919</v>
      </c>
      <c r="H26" s="1">
        <v>104889</v>
      </c>
      <c r="I26" s="1">
        <v>104933</v>
      </c>
      <c r="J26" s="1">
        <v>104222</v>
      </c>
      <c r="K26" s="1">
        <v>103793</v>
      </c>
      <c r="L26" s="1">
        <v>103666</v>
      </c>
      <c r="M26" s="1">
        <v>103720</v>
      </c>
      <c r="N26" s="1">
        <v>103913</v>
      </c>
      <c r="O26" s="1">
        <v>104176</v>
      </c>
      <c r="P26" s="1">
        <v>104540</v>
      </c>
      <c r="Q26" s="1">
        <v>105489</v>
      </c>
      <c r="R26" s="1">
        <v>106021</v>
      </c>
      <c r="S26" s="1">
        <v>106561</v>
      </c>
      <c r="T26" s="1">
        <v>106565</v>
      </c>
      <c r="U26" s="1">
        <v>106483</v>
      </c>
      <c r="V26" s="1">
        <v>105819</v>
      </c>
      <c r="W26" s="1">
        <v>105615</v>
      </c>
    </row>
    <row r="27" spans="1:23" ht="20" customHeight="1">
      <c r="A27" s="8" t="s">
        <v>36</v>
      </c>
      <c r="B27" s="1">
        <v>219398</v>
      </c>
      <c r="C27" s="1">
        <v>219634</v>
      </c>
      <c r="D27" s="1">
        <v>219726</v>
      </c>
      <c r="E27" s="1">
        <v>219753</v>
      </c>
      <c r="F27" s="1">
        <v>219810</v>
      </c>
      <c r="G27" s="1">
        <v>219797</v>
      </c>
      <c r="H27" s="1">
        <v>219876</v>
      </c>
      <c r="I27" s="1">
        <v>220030</v>
      </c>
      <c r="J27" s="1">
        <v>220146</v>
      </c>
      <c r="K27" s="1">
        <v>220158</v>
      </c>
      <c r="L27" s="1">
        <v>221066</v>
      </c>
      <c r="M27" s="1">
        <v>222318</v>
      </c>
      <c r="N27" s="1">
        <v>222965</v>
      </c>
      <c r="O27" s="1">
        <v>223565</v>
      </c>
      <c r="P27" s="1">
        <v>223866</v>
      </c>
      <c r="Q27" s="1">
        <v>224163</v>
      </c>
      <c r="R27" s="1">
        <v>224601</v>
      </c>
      <c r="S27" s="1">
        <v>224900</v>
      </c>
      <c r="T27" s="1">
        <v>225071</v>
      </c>
      <c r="U27" s="1">
        <v>225233</v>
      </c>
      <c r="V27" s="1">
        <v>225621</v>
      </c>
      <c r="W27" s="1">
        <v>226094</v>
      </c>
    </row>
    <row r="28" spans="1:23" ht="20" customHeight="1">
      <c r="A28" s="8" t="s">
        <v>37</v>
      </c>
      <c r="B28" s="1">
        <v>274282</v>
      </c>
      <c r="C28" s="1">
        <v>275151</v>
      </c>
      <c r="D28" s="1">
        <v>275913</v>
      </c>
      <c r="E28" s="1">
        <v>276674</v>
      </c>
      <c r="F28" s="1">
        <v>277478</v>
      </c>
      <c r="G28" s="1">
        <v>277882</v>
      </c>
      <c r="H28" s="1">
        <v>278441</v>
      </c>
      <c r="I28" s="1">
        <v>278931</v>
      </c>
      <c r="J28" s="1">
        <v>279335</v>
      </c>
      <c r="K28" s="1">
        <v>279835</v>
      </c>
      <c r="L28" s="1">
        <v>280380</v>
      </c>
      <c r="M28" s="1">
        <v>281032</v>
      </c>
      <c r="N28" s="1">
        <v>281822</v>
      </c>
      <c r="O28" s="1">
        <v>282309</v>
      </c>
      <c r="P28" s="1">
        <v>282631</v>
      </c>
      <c r="Q28" s="1">
        <v>283006</v>
      </c>
      <c r="R28" s="1">
        <v>283323</v>
      </c>
      <c r="S28" s="1">
        <v>283682</v>
      </c>
      <c r="T28" s="1">
        <v>284167</v>
      </c>
      <c r="U28" s="1">
        <v>284610</v>
      </c>
      <c r="V28" s="1">
        <v>284913</v>
      </c>
      <c r="W28" s="1">
        <v>285297</v>
      </c>
    </row>
    <row r="29" spans="1:23" ht="20" customHeight="1">
      <c r="A29" s="8" t="s">
        <v>38</v>
      </c>
      <c r="B29" s="1">
        <v>140670</v>
      </c>
      <c r="C29" s="1">
        <v>140725</v>
      </c>
      <c r="D29" s="1">
        <v>140963</v>
      </c>
      <c r="E29" s="1">
        <v>141134</v>
      </c>
      <c r="F29" s="1">
        <v>141527</v>
      </c>
      <c r="G29" s="1">
        <v>141697</v>
      </c>
      <c r="H29" s="1">
        <v>141889</v>
      </c>
      <c r="I29" s="1">
        <v>141751</v>
      </c>
      <c r="J29" s="1">
        <v>141779</v>
      </c>
      <c r="K29" s="1">
        <v>141764</v>
      </c>
      <c r="L29" s="1">
        <v>141632</v>
      </c>
      <c r="M29" s="1">
        <v>141586</v>
      </c>
      <c r="N29" s="1">
        <v>141438</v>
      </c>
      <c r="O29" s="1">
        <v>141530</v>
      </c>
      <c r="P29" s="1">
        <v>141781</v>
      </c>
      <c r="Q29" s="1">
        <v>141824</v>
      </c>
      <c r="R29" s="1">
        <v>141817</v>
      </c>
      <c r="S29" s="1">
        <v>141711</v>
      </c>
      <c r="T29" s="1">
        <v>141658</v>
      </c>
      <c r="U29" s="1">
        <v>141576</v>
      </c>
      <c r="V29" s="1">
        <v>141506</v>
      </c>
      <c r="W29" s="1">
        <v>141377</v>
      </c>
    </row>
    <row r="30" spans="1:23" ht="20" customHeight="1">
      <c r="A30" s="8" t="s">
        <v>39</v>
      </c>
      <c r="B30" s="1">
        <v>393577</v>
      </c>
      <c r="C30" s="1">
        <v>395031</v>
      </c>
      <c r="D30" s="1">
        <v>396653</v>
      </c>
      <c r="E30" s="1">
        <v>397693</v>
      </c>
      <c r="F30" s="1">
        <v>398820</v>
      </c>
      <c r="G30" s="1">
        <v>399634</v>
      </c>
      <c r="H30" s="1">
        <v>401027</v>
      </c>
      <c r="I30" s="1">
        <v>402180</v>
      </c>
      <c r="J30" s="1">
        <v>403190</v>
      </c>
      <c r="K30" s="1">
        <v>404623</v>
      </c>
      <c r="L30" s="1">
        <v>405653</v>
      </c>
      <c r="M30" s="1">
        <v>406844</v>
      </c>
      <c r="N30" s="1">
        <v>407884</v>
      </c>
      <c r="O30" s="1">
        <v>408571</v>
      </c>
      <c r="P30" s="1">
        <v>409113</v>
      </c>
      <c r="Q30" s="1">
        <v>409777</v>
      </c>
      <c r="R30" s="1">
        <v>411307</v>
      </c>
      <c r="S30" s="1">
        <v>412269</v>
      </c>
      <c r="T30" s="1">
        <v>413884</v>
      </c>
      <c r="U30" s="1">
        <v>415432</v>
      </c>
      <c r="V30" s="1">
        <v>416185</v>
      </c>
      <c r="W30" s="1">
        <v>417136</v>
      </c>
    </row>
    <row r="31" spans="1:23" ht="20" customHeight="1">
      <c r="A31" s="8" t="s">
        <v>40</v>
      </c>
      <c r="B31" s="1">
        <v>234735</v>
      </c>
      <c r="C31" s="1">
        <v>235708</v>
      </c>
      <c r="D31" s="1">
        <v>236296</v>
      </c>
      <c r="E31" s="1">
        <v>236935</v>
      </c>
      <c r="F31" s="1">
        <v>237646</v>
      </c>
      <c r="G31" s="1">
        <v>238500</v>
      </c>
      <c r="H31" s="1">
        <v>238647</v>
      </c>
      <c r="I31" s="1">
        <v>238712</v>
      </c>
      <c r="J31" s="1">
        <v>238463</v>
      </c>
      <c r="K31" s="1">
        <v>239775</v>
      </c>
      <c r="L31" s="1">
        <v>241315</v>
      </c>
      <c r="M31" s="1">
        <v>243061</v>
      </c>
      <c r="N31" s="1">
        <v>243510</v>
      </c>
      <c r="O31" s="1">
        <v>243741</v>
      </c>
      <c r="P31" s="1">
        <v>244572</v>
      </c>
      <c r="Q31" s="1">
        <v>245046</v>
      </c>
      <c r="R31" s="1">
        <v>245344</v>
      </c>
      <c r="S31" s="1">
        <v>245932</v>
      </c>
      <c r="T31" s="1">
        <v>246005</v>
      </c>
      <c r="U31" s="1">
        <v>245910</v>
      </c>
      <c r="V31" s="1">
        <v>245447</v>
      </c>
      <c r="W31" s="1">
        <v>245094</v>
      </c>
    </row>
    <row r="32" spans="1:23" ht="20" customHeight="1">
      <c r="A32" s="8" t="s">
        <v>41</v>
      </c>
      <c r="B32" s="1">
        <v>202637</v>
      </c>
      <c r="C32" s="1">
        <v>202623</v>
      </c>
      <c r="D32" s="1">
        <v>202725</v>
      </c>
      <c r="E32" s="1">
        <v>202733</v>
      </c>
      <c r="F32" s="1">
        <v>202804</v>
      </c>
      <c r="G32" s="1">
        <v>202884</v>
      </c>
      <c r="H32" s="1">
        <v>203120</v>
      </c>
      <c r="I32" s="1">
        <v>203223</v>
      </c>
      <c r="J32" s="1">
        <v>203463</v>
      </c>
      <c r="K32" s="1">
        <v>203734</v>
      </c>
      <c r="L32" s="1">
        <v>203950</v>
      </c>
      <c r="M32" s="1">
        <v>204606</v>
      </c>
      <c r="N32" s="1">
        <v>205071</v>
      </c>
      <c r="O32" s="1">
        <v>205380</v>
      </c>
      <c r="P32" s="1">
        <v>205658</v>
      </c>
      <c r="Q32" s="1">
        <v>205956</v>
      </c>
      <c r="R32" s="1">
        <v>206631</v>
      </c>
      <c r="S32" s="1">
        <v>207239</v>
      </c>
      <c r="T32" s="1">
        <v>207384</v>
      </c>
      <c r="U32" s="1">
        <v>207688</v>
      </c>
      <c r="V32" s="1">
        <v>208850</v>
      </c>
      <c r="W32" s="1">
        <v>212585</v>
      </c>
    </row>
    <row r="33" spans="1:23" ht="20" customHeight="1">
      <c r="A33" s="8" t="s">
        <v>42</v>
      </c>
      <c r="B33" s="1">
        <v>144557</v>
      </c>
      <c r="C33" s="1">
        <v>144559</v>
      </c>
      <c r="D33" s="1">
        <v>144577</v>
      </c>
      <c r="E33" s="1">
        <v>144447</v>
      </c>
      <c r="F33" s="1">
        <v>144427</v>
      </c>
      <c r="G33" s="1">
        <v>144345</v>
      </c>
      <c r="H33" s="1">
        <v>144269</v>
      </c>
      <c r="I33" s="1">
        <v>143963</v>
      </c>
      <c r="J33" s="1">
        <v>143796</v>
      </c>
      <c r="K33" s="1">
        <v>143560</v>
      </c>
      <c r="L33" s="1">
        <v>143411</v>
      </c>
      <c r="M33" s="1">
        <v>143405</v>
      </c>
      <c r="N33" s="1">
        <v>143338</v>
      </c>
      <c r="O33" s="1">
        <v>143238</v>
      </c>
      <c r="P33" s="1">
        <v>143175</v>
      </c>
      <c r="Q33" s="1">
        <v>143075</v>
      </c>
      <c r="R33" s="1">
        <v>143059</v>
      </c>
      <c r="S33" s="1">
        <v>143027</v>
      </c>
      <c r="T33" s="1">
        <v>143163</v>
      </c>
      <c r="U33" s="1">
        <v>143204</v>
      </c>
      <c r="V33" s="1">
        <v>143105</v>
      </c>
      <c r="W33" s="1">
        <v>143063</v>
      </c>
    </row>
    <row r="34" spans="1:23" ht="20" customHeight="1">
      <c r="A34" s="8" t="s">
        <v>43</v>
      </c>
      <c r="B34" s="1">
        <v>274283</v>
      </c>
      <c r="C34" s="1">
        <v>274428</v>
      </c>
      <c r="D34" s="1">
        <v>274425</v>
      </c>
      <c r="E34" s="1">
        <v>274521</v>
      </c>
      <c r="F34" s="1">
        <v>274601</v>
      </c>
      <c r="G34" s="1">
        <v>274426</v>
      </c>
      <c r="H34" s="1">
        <v>274249</v>
      </c>
      <c r="I34" s="1">
        <v>274032</v>
      </c>
      <c r="J34" s="1">
        <v>274100</v>
      </c>
      <c r="K34" s="1">
        <v>274084</v>
      </c>
      <c r="L34" s="1">
        <v>274034</v>
      </c>
      <c r="M34" s="1">
        <v>274285</v>
      </c>
      <c r="N34" s="1">
        <v>274326</v>
      </c>
      <c r="O34" s="1">
        <v>274226</v>
      </c>
      <c r="P34" s="1">
        <v>274205</v>
      </c>
      <c r="Q34" s="1">
        <v>274010</v>
      </c>
      <c r="R34" s="1">
        <v>273897</v>
      </c>
      <c r="S34" s="1">
        <v>273913</v>
      </c>
      <c r="T34" s="1">
        <v>274044</v>
      </c>
      <c r="U34" s="1">
        <v>274222</v>
      </c>
      <c r="V34" s="1">
        <v>274062</v>
      </c>
      <c r="W34" s="1">
        <v>273911</v>
      </c>
    </row>
    <row r="35" spans="1:23" ht="20" customHeight="1">
      <c r="A35" s="8" t="s">
        <v>44</v>
      </c>
      <c r="B35" s="1">
        <v>285914</v>
      </c>
      <c r="C35" s="1">
        <v>286127</v>
      </c>
      <c r="D35" s="1">
        <v>286538</v>
      </c>
      <c r="E35" s="1">
        <v>286647</v>
      </c>
      <c r="F35" s="1">
        <v>286569</v>
      </c>
      <c r="G35" s="1">
        <v>286379</v>
      </c>
      <c r="H35" s="1">
        <v>286045</v>
      </c>
      <c r="I35" s="1">
        <v>285450</v>
      </c>
      <c r="J35" s="1">
        <v>284786</v>
      </c>
      <c r="K35" s="1">
        <v>284578</v>
      </c>
      <c r="L35" s="1">
        <v>284877</v>
      </c>
      <c r="M35" s="1">
        <v>285607</v>
      </c>
      <c r="N35" s="1">
        <v>286257</v>
      </c>
      <c r="O35" s="1">
        <v>286396</v>
      </c>
      <c r="P35" s="1">
        <v>286401</v>
      </c>
      <c r="Q35" s="1">
        <v>286338</v>
      </c>
      <c r="R35" s="1">
        <v>286403</v>
      </c>
      <c r="S35" s="1">
        <v>286408</v>
      </c>
      <c r="T35" s="1">
        <v>286376</v>
      </c>
      <c r="U35" s="1">
        <v>286029</v>
      </c>
      <c r="V35" s="1">
        <v>285766</v>
      </c>
      <c r="W35" s="1">
        <v>285963</v>
      </c>
    </row>
    <row r="36" spans="1:23" ht="20" customHeight="1">
      <c r="A36" s="8" t="s">
        <v>45</v>
      </c>
      <c r="B36" s="1">
        <v>169787</v>
      </c>
      <c r="C36" s="1">
        <v>169725</v>
      </c>
      <c r="D36" s="1">
        <v>169950</v>
      </c>
      <c r="E36" s="1">
        <v>169857</v>
      </c>
      <c r="F36" s="1">
        <v>169935</v>
      </c>
      <c r="G36" s="1">
        <v>170210</v>
      </c>
      <c r="H36" s="1">
        <v>170388</v>
      </c>
      <c r="I36" s="1">
        <v>170271</v>
      </c>
      <c r="J36" s="1">
        <v>170152</v>
      </c>
      <c r="K36" s="1">
        <v>170077</v>
      </c>
      <c r="L36" s="1">
        <v>170093</v>
      </c>
      <c r="M36" s="1">
        <v>170409</v>
      </c>
      <c r="N36" s="1">
        <v>170557</v>
      </c>
      <c r="O36" s="1">
        <v>170588</v>
      </c>
      <c r="P36" s="1">
        <v>170508</v>
      </c>
      <c r="Q36" s="1">
        <v>170469</v>
      </c>
      <c r="R36" s="1">
        <v>170439</v>
      </c>
      <c r="S36" s="1">
        <v>170449</v>
      </c>
      <c r="T36" s="1">
        <v>170383</v>
      </c>
      <c r="U36" s="1">
        <v>170233</v>
      </c>
      <c r="V36" s="1">
        <v>170110</v>
      </c>
      <c r="W36" s="1">
        <v>169931</v>
      </c>
    </row>
    <row r="37" spans="1:23" ht="20" customHeight="1">
      <c r="A37" s="8" t="s">
        <v>46</v>
      </c>
      <c r="B37" s="1">
        <v>184268</v>
      </c>
      <c r="C37" s="1">
        <v>184388</v>
      </c>
      <c r="D37" s="1">
        <v>184498</v>
      </c>
      <c r="E37" s="1">
        <v>184546</v>
      </c>
      <c r="F37" s="1">
        <v>184616</v>
      </c>
      <c r="G37" s="1">
        <v>184484</v>
      </c>
      <c r="H37" s="1">
        <v>184467</v>
      </c>
      <c r="I37" s="1">
        <v>184272</v>
      </c>
      <c r="J37" s="1">
        <v>184188</v>
      </c>
      <c r="K37" s="1">
        <v>184096</v>
      </c>
      <c r="L37" s="1">
        <v>184161</v>
      </c>
      <c r="M37" s="1">
        <v>184226</v>
      </c>
      <c r="N37" s="1">
        <v>184333</v>
      </c>
      <c r="O37" s="1">
        <v>184234</v>
      </c>
      <c r="P37" s="1">
        <v>184156</v>
      </c>
      <c r="Q37" s="1">
        <v>184097</v>
      </c>
      <c r="R37" s="1">
        <v>184076</v>
      </c>
      <c r="S37" s="1">
        <v>184064</v>
      </c>
      <c r="T37" s="1">
        <v>184161</v>
      </c>
      <c r="U37" s="1">
        <v>183958</v>
      </c>
      <c r="V37" s="1">
        <v>183917</v>
      </c>
      <c r="W37" s="1">
        <v>183891</v>
      </c>
    </row>
    <row r="38" spans="1:23" ht="20" customHeight="1">
      <c r="A38" s="8" t="s">
        <v>47</v>
      </c>
      <c r="B38" s="1">
        <v>120051</v>
      </c>
      <c r="C38" s="1">
        <v>120274</v>
      </c>
      <c r="D38" s="1">
        <v>120423</v>
      </c>
      <c r="E38" s="1">
        <v>120578</v>
      </c>
      <c r="F38" s="1">
        <v>120628</v>
      </c>
      <c r="G38" s="1">
        <v>120696</v>
      </c>
      <c r="H38" s="1">
        <v>120650</v>
      </c>
      <c r="I38" s="1">
        <v>120555</v>
      </c>
      <c r="J38" s="1">
        <v>120312</v>
      </c>
      <c r="K38" s="1">
        <v>120381</v>
      </c>
      <c r="L38" s="1">
        <v>120610</v>
      </c>
      <c r="M38" s="1">
        <v>120822</v>
      </c>
      <c r="N38" s="1">
        <v>120985</v>
      </c>
      <c r="O38" s="1">
        <v>121117</v>
      </c>
      <c r="P38" s="1">
        <v>121188</v>
      </c>
      <c r="Q38" s="1">
        <v>121223</v>
      </c>
      <c r="R38" s="1">
        <v>121238</v>
      </c>
      <c r="S38" s="1">
        <v>121251</v>
      </c>
      <c r="T38" s="1">
        <v>121224</v>
      </c>
      <c r="U38" s="1">
        <v>121168</v>
      </c>
      <c r="V38" s="1">
        <v>121056</v>
      </c>
      <c r="W38" s="1">
        <v>121075</v>
      </c>
    </row>
    <row r="39" spans="1:23" ht="20" customHeight="1">
      <c r="A39" s="8" t="s">
        <v>48</v>
      </c>
      <c r="B39" s="1">
        <v>218341</v>
      </c>
      <c r="C39" s="1">
        <v>218262</v>
      </c>
      <c r="D39" s="1">
        <v>218187</v>
      </c>
      <c r="E39" s="1">
        <v>217858</v>
      </c>
      <c r="F39" s="1">
        <v>218003</v>
      </c>
      <c r="G39" s="1">
        <v>218087</v>
      </c>
      <c r="H39" s="1">
        <v>218367</v>
      </c>
      <c r="I39" s="1">
        <v>218280</v>
      </c>
      <c r="J39" s="1">
        <v>218106</v>
      </c>
      <c r="K39" s="1">
        <v>217904</v>
      </c>
      <c r="L39" s="1">
        <v>217446</v>
      </c>
      <c r="M39" s="1">
        <v>218042</v>
      </c>
      <c r="N39" s="1">
        <v>218665</v>
      </c>
      <c r="O39" s="1">
        <v>218585</v>
      </c>
      <c r="P39" s="1">
        <v>218529</v>
      </c>
      <c r="Q39" s="1">
        <v>218369</v>
      </c>
      <c r="R39" s="1">
        <v>218265</v>
      </c>
      <c r="S39" s="1">
        <v>218179</v>
      </c>
      <c r="T39" s="1">
        <v>218362</v>
      </c>
      <c r="U39" s="1">
        <v>218074</v>
      </c>
      <c r="V39" s="1">
        <v>217971</v>
      </c>
      <c r="W39" s="1">
        <v>217743</v>
      </c>
    </row>
    <row r="40" spans="1:23" ht="20" customHeight="1">
      <c r="A40" s="8" t="s">
        <v>49</v>
      </c>
      <c r="B40" s="1">
        <v>138376</v>
      </c>
      <c r="C40" s="1">
        <v>138314</v>
      </c>
      <c r="D40" s="1">
        <v>138289</v>
      </c>
      <c r="E40" s="1">
        <v>138188</v>
      </c>
      <c r="F40" s="1">
        <v>138069</v>
      </c>
      <c r="G40" s="1">
        <v>138102</v>
      </c>
      <c r="H40" s="1">
        <v>138210</v>
      </c>
      <c r="I40" s="1">
        <v>138223</v>
      </c>
      <c r="J40" s="1">
        <v>138161</v>
      </c>
      <c r="K40" s="1">
        <v>138261</v>
      </c>
      <c r="L40" s="1">
        <v>138373</v>
      </c>
      <c r="M40" s="1">
        <v>138626</v>
      </c>
      <c r="N40" s="1">
        <v>138756</v>
      </c>
      <c r="O40" s="1">
        <v>138829</v>
      </c>
      <c r="P40" s="1">
        <v>138790</v>
      </c>
      <c r="Q40" s="1">
        <v>138849</v>
      </c>
      <c r="R40" s="1">
        <v>138902</v>
      </c>
      <c r="S40" s="1">
        <v>138846</v>
      </c>
      <c r="T40" s="1">
        <v>138862</v>
      </c>
      <c r="U40" s="1">
        <v>138795</v>
      </c>
      <c r="V40" s="1">
        <v>138759</v>
      </c>
      <c r="W40" s="1">
        <v>138759</v>
      </c>
    </row>
    <row r="41" spans="1:23" ht="20" customHeight="1">
      <c r="A41" s="8" t="s">
        <v>50</v>
      </c>
      <c r="B41" s="1">
        <v>171140</v>
      </c>
      <c r="C41" s="1">
        <v>171288</v>
      </c>
      <c r="D41" s="1">
        <v>171388</v>
      </c>
      <c r="E41" s="1">
        <v>171703</v>
      </c>
      <c r="F41" s="1">
        <v>171945</v>
      </c>
      <c r="G41" s="1">
        <v>172680</v>
      </c>
      <c r="H41" s="1">
        <v>173091</v>
      </c>
      <c r="I41" s="1">
        <v>173003</v>
      </c>
      <c r="J41" s="1">
        <v>172934</v>
      </c>
      <c r="K41" s="1">
        <v>172801</v>
      </c>
      <c r="L41" s="1">
        <v>172756</v>
      </c>
      <c r="M41" s="1">
        <v>173590</v>
      </c>
      <c r="N41" s="1">
        <v>174010</v>
      </c>
      <c r="O41" s="1">
        <v>174086</v>
      </c>
      <c r="P41" s="1">
        <v>174045</v>
      </c>
      <c r="Q41" s="1">
        <v>173903</v>
      </c>
      <c r="R41" s="1">
        <v>173860</v>
      </c>
      <c r="S41" s="1">
        <v>173942</v>
      </c>
      <c r="T41" s="1">
        <v>173878</v>
      </c>
      <c r="U41" s="1">
        <v>173654</v>
      </c>
      <c r="V41" s="1">
        <v>173296</v>
      </c>
      <c r="W41" s="1">
        <v>172840</v>
      </c>
    </row>
    <row r="42" spans="1:23" ht="20" customHeight="1">
      <c r="A42" s="8" t="s">
        <v>51</v>
      </c>
      <c r="B42" s="1">
        <v>186534</v>
      </c>
      <c r="C42" s="1">
        <v>186730</v>
      </c>
      <c r="D42" s="1">
        <v>186980</v>
      </c>
      <c r="E42" s="1">
        <v>187058</v>
      </c>
      <c r="F42" s="1">
        <v>187112</v>
      </c>
      <c r="G42" s="1">
        <v>187178</v>
      </c>
      <c r="H42" s="1">
        <v>187199</v>
      </c>
      <c r="I42" s="1">
        <v>186990</v>
      </c>
      <c r="J42" s="1">
        <v>186818</v>
      </c>
      <c r="K42" s="1">
        <v>186675</v>
      </c>
      <c r="L42" s="1">
        <v>186473</v>
      </c>
      <c r="M42" s="1">
        <v>186971</v>
      </c>
      <c r="N42" s="1">
        <v>187417</v>
      </c>
      <c r="O42" s="1">
        <v>187734</v>
      </c>
      <c r="P42" s="1">
        <v>187712</v>
      </c>
      <c r="Q42" s="1">
        <v>187662</v>
      </c>
      <c r="R42" s="1">
        <v>187629</v>
      </c>
      <c r="S42" s="1">
        <v>187497</v>
      </c>
      <c r="T42" s="1">
        <v>187461</v>
      </c>
      <c r="U42" s="1">
        <v>187330</v>
      </c>
      <c r="V42" s="1">
        <v>187193</v>
      </c>
      <c r="W42" s="1">
        <v>186950</v>
      </c>
    </row>
    <row r="43" spans="1:23" ht="20" customHeight="1">
      <c r="A43" s="8" t="s">
        <v>52</v>
      </c>
      <c r="B43" s="1">
        <v>181034</v>
      </c>
      <c r="C43" s="1">
        <v>180976</v>
      </c>
      <c r="D43" s="1">
        <v>181093</v>
      </c>
      <c r="E43" s="1">
        <v>181097</v>
      </c>
      <c r="F43" s="1">
        <v>181163</v>
      </c>
      <c r="G43" s="1">
        <v>181177</v>
      </c>
      <c r="H43" s="1">
        <v>181192</v>
      </c>
      <c r="I43" s="1">
        <v>181052</v>
      </c>
      <c r="J43" s="1">
        <v>181058</v>
      </c>
      <c r="K43" s="1">
        <v>181090</v>
      </c>
      <c r="L43" s="1">
        <v>181156</v>
      </c>
      <c r="M43" s="1">
        <v>181532</v>
      </c>
      <c r="N43" s="1">
        <v>181745</v>
      </c>
      <c r="O43" s="1">
        <v>181710</v>
      </c>
      <c r="P43" s="1">
        <v>181641</v>
      </c>
      <c r="Q43" s="1">
        <v>181651</v>
      </c>
      <c r="R43" s="1">
        <v>181755</v>
      </c>
      <c r="S43" s="1">
        <v>181745</v>
      </c>
      <c r="T43" s="1">
        <v>181686</v>
      </c>
      <c r="U43" s="1">
        <v>181434</v>
      </c>
      <c r="V43" s="1">
        <v>181281</v>
      </c>
      <c r="W43" s="1">
        <v>181135</v>
      </c>
    </row>
    <row r="44" spans="1:23" ht="20" customHeight="1">
      <c r="A44" s="8" t="s">
        <v>53</v>
      </c>
      <c r="B44" s="1">
        <v>147146</v>
      </c>
      <c r="C44" s="1">
        <v>147183</v>
      </c>
      <c r="D44" s="1">
        <v>147197</v>
      </c>
      <c r="E44" s="1">
        <v>147226</v>
      </c>
      <c r="F44" s="1">
        <v>147184</v>
      </c>
      <c r="G44" s="1">
        <v>147271</v>
      </c>
      <c r="H44" s="1">
        <v>147333</v>
      </c>
      <c r="I44" s="1">
        <v>147074</v>
      </c>
      <c r="J44" s="1">
        <v>146938</v>
      </c>
      <c r="K44" s="1">
        <v>146845</v>
      </c>
      <c r="L44" s="1">
        <v>146787</v>
      </c>
      <c r="M44" s="1">
        <v>147225</v>
      </c>
      <c r="N44" s="1">
        <v>147467</v>
      </c>
      <c r="O44" s="1">
        <v>147508</v>
      </c>
      <c r="P44" s="1">
        <v>147475</v>
      </c>
      <c r="Q44" s="1">
        <v>147312</v>
      </c>
      <c r="R44" s="1">
        <v>147262</v>
      </c>
      <c r="S44" s="1">
        <v>147166</v>
      </c>
      <c r="T44" s="1">
        <v>147107</v>
      </c>
      <c r="U44" s="1">
        <v>146735</v>
      </c>
      <c r="V44" s="1">
        <v>146502</v>
      </c>
      <c r="W44" s="1">
        <v>146221</v>
      </c>
    </row>
    <row r="45" spans="1:23" ht="20" customHeight="1">
      <c r="A45" s="8" t="s">
        <v>54</v>
      </c>
      <c r="B45" s="1">
        <v>168234</v>
      </c>
      <c r="C45" s="1">
        <v>168238</v>
      </c>
      <c r="D45" s="1">
        <v>168344</v>
      </c>
      <c r="E45" s="1">
        <v>168590</v>
      </c>
      <c r="F45" s="1">
        <v>168844</v>
      </c>
      <c r="G45" s="1">
        <v>168924</v>
      </c>
      <c r="H45" s="1">
        <v>169621</v>
      </c>
      <c r="I45" s="1">
        <v>170040</v>
      </c>
      <c r="J45" s="1">
        <v>170059</v>
      </c>
      <c r="K45" s="1">
        <v>169884</v>
      </c>
      <c r="L45" s="1">
        <v>170015</v>
      </c>
      <c r="M45" s="1">
        <v>170285</v>
      </c>
      <c r="N45" s="1">
        <v>170382</v>
      </c>
      <c r="O45" s="1">
        <v>170348</v>
      </c>
      <c r="P45" s="1">
        <v>170366</v>
      </c>
      <c r="Q45" s="1">
        <v>170464</v>
      </c>
      <c r="R45" s="1">
        <v>170606</v>
      </c>
      <c r="S45" s="1">
        <v>170806</v>
      </c>
      <c r="T45" s="1">
        <v>170839</v>
      </c>
      <c r="U45" s="1">
        <v>170868</v>
      </c>
      <c r="V45" s="1">
        <v>170710</v>
      </c>
      <c r="W45" s="1">
        <v>170681</v>
      </c>
    </row>
    <row r="46" spans="1:23" ht="20" customHeight="1">
      <c r="A46" s="8" t="s">
        <v>55</v>
      </c>
      <c r="B46" s="1">
        <v>133513</v>
      </c>
      <c r="C46" s="1">
        <v>133503</v>
      </c>
      <c r="D46" s="1">
        <v>133551</v>
      </c>
      <c r="E46" s="1">
        <v>133484</v>
      </c>
      <c r="F46" s="1">
        <v>133464</v>
      </c>
      <c r="G46" s="1">
        <v>133433</v>
      </c>
      <c r="H46" s="1">
        <v>133366</v>
      </c>
      <c r="I46" s="1">
        <v>133253</v>
      </c>
      <c r="J46" s="1">
        <v>133178</v>
      </c>
      <c r="K46" s="1">
        <v>133089</v>
      </c>
      <c r="L46" s="1">
        <v>132985</v>
      </c>
      <c r="M46" s="1">
        <v>133197</v>
      </c>
      <c r="N46" s="1">
        <v>133374</v>
      </c>
      <c r="O46" s="1">
        <v>133297</v>
      </c>
      <c r="P46" s="1">
        <v>133325</v>
      </c>
      <c r="Q46" s="1">
        <v>133233</v>
      </c>
      <c r="R46" s="1">
        <v>133102</v>
      </c>
      <c r="S46" s="1">
        <v>132969</v>
      </c>
      <c r="T46" s="1">
        <v>132856</v>
      </c>
      <c r="U46" s="1">
        <v>132615</v>
      </c>
      <c r="V46" s="1">
        <v>132248</v>
      </c>
      <c r="W46" s="1">
        <v>131953</v>
      </c>
    </row>
    <row r="47" spans="1:23" ht="20" customHeight="1">
      <c r="A47" s="8" t="s">
        <v>56</v>
      </c>
      <c r="B47" s="1">
        <v>197859</v>
      </c>
      <c r="C47" s="1">
        <v>197801</v>
      </c>
      <c r="D47" s="1">
        <v>197906</v>
      </c>
      <c r="E47" s="1">
        <v>197831</v>
      </c>
      <c r="F47" s="1">
        <v>197686</v>
      </c>
      <c r="G47" s="1">
        <v>197673</v>
      </c>
      <c r="H47" s="1">
        <v>197607</v>
      </c>
      <c r="I47" s="1">
        <v>197271</v>
      </c>
      <c r="J47" s="1">
        <v>197041</v>
      </c>
      <c r="K47" s="1">
        <v>196800</v>
      </c>
      <c r="L47" s="1">
        <v>196512</v>
      </c>
      <c r="M47" s="1">
        <v>197012</v>
      </c>
      <c r="N47" s="1">
        <v>197445</v>
      </c>
      <c r="O47" s="1">
        <v>197440</v>
      </c>
      <c r="P47" s="1">
        <v>197353</v>
      </c>
      <c r="Q47" s="1">
        <v>197371</v>
      </c>
      <c r="R47" s="1">
        <v>197324</v>
      </c>
      <c r="S47" s="1">
        <v>197429</v>
      </c>
      <c r="T47" s="1">
        <v>197414</v>
      </c>
      <c r="U47" s="1">
        <v>196991</v>
      </c>
      <c r="V47" s="1">
        <v>196744</v>
      </c>
      <c r="W47" s="1">
        <v>196485</v>
      </c>
    </row>
    <row r="48" spans="1:23" ht="20" customHeight="1">
      <c r="A48" s="8" t="s">
        <v>57</v>
      </c>
      <c r="B48" s="1">
        <v>285489</v>
      </c>
      <c r="C48" s="1">
        <v>285493</v>
      </c>
      <c r="D48" s="1">
        <v>285615</v>
      </c>
      <c r="E48" s="1">
        <v>285798</v>
      </c>
      <c r="F48" s="1">
        <v>285951</v>
      </c>
      <c r="G48" s="1">
        <v>286095</v>
      </c>
      <c r="H48" s="1">
        <v>286123</v>
      </c>
      <c r="I48" s="1">
        <v>286018</v>
      </c>
      <c r="J48" s="1">
        <v>286016</v>
      </c>
      <c r="K48" s="1">
        <v>285927</v>
      </c>
      <c r="L48" s="1">
        <v>286180</v>
      </c>
      <c r="M48" s="1">
        <v>286651</v>
      </c>
      <c r="N48" s="1">
        <v>287052</v>
      </c>
      <c r="O48" s="1">
        <v>287220</v>
      </c>
      <c r="P48" s="1">
        <v>287320</v>
      </c>
      <c r="Q48" s="1">
        <v>287380</v>
      </c>
      <c r="R48" s="1">
        <v>287418</v>
      </c>
      <c r="S48" s="1">
        <v>287265</v>
      </c>
      <c r="T48" s="1">
        <v>287511</v>
      </c>
      <c r="U48" s="1">
        <v>287537</v>
      </c>
      <c r="V48" s="1">
        <v>287435</v>
      </c>
      <c r="W48" s="1">
        <v>287017</v>
      </c>
    </row>
    <row r="49" spans="1:23" ht="20" customHeight="1">
      <c r="A49" s="8" t="s">
        <v>58</v>
      </c>
      <c r="B49" s="1">
        <v>181072</v>
      </c>
      <c r="C49" s="1">
        <v>181057</v>
      </c>
      <c r="D49" s="1">
        <v>181169</v>
      </c>
      <c r="E49" s="1">
        <v>181210</v>
      </c>
      <c r="F49" s="1">
        <v>181264</v>
      </c>
      <c r="G49" s="1">
        <v>181139</v>
      </c>
      <c r="H49" s="1">
        <v>181072</v>
      </c>
      <c r="I49" s="1">
        <v>181038</v>
      </c>
      <c r="J49" s="1">
        <v>180794</v>
      </c>
      <c r="K49" s="1">
        <v>180695</v>
      </c>
      <c r="L49" s="1">
        <v>180615</v>
      </c>
      <c r="M49" s="1">
        <v>180685</v>
      </c>
      <c r="N49" s="1">
        <v>180619</v>
      </c>
      <c r="O49" s="1">
        <v>180585</v>
      </c>
      <c r="P49" s="1">
        <v>180672</v>
      </c>
      <c r="Q49" s="1">
        <v>180679</v>
      </c>
      <c r="R49" s="1">
        <v>180617</v>
      </c>
      <c r="S49" s="1">
        <v>180629</v>
      </c>
      <c r="T49" s="1">
        <v>180600</v>
      </c>
      <c r="U49" s="1">
        <v>180500</v>
      </c>
      <c r="V49" s="1">
        <v>180315</v>
      </c>
      <c r="W49" s="1">
        <v>180209</v>
      </c>
    </row>
    <row r="50" spans="1:23" ht="20" customHeight="1">
      <c r="A50" s="8" t="s">
        <v>59</v>
      </c>
      <c r="B50" s="1">
        <v>190252</v>
      </c>
      <c r="C50" s="1">
        <v>190393</v>
      </c>
      <c r="D50" s="1">
        <v>190437</v>
      </c>
      <c r="E50" s="1">
        <v>190482</v>
      </c>
      <c r="F50" s="1">
        <v>190531</v>
      </c>
      <c r="G50" s="1">
        <v>190508</v>
      </c>
      <c r="H50" s="1">
        <v>190761</v>
      </c>
      <c r="I50" s="1">
        <v>190702</v>
      </c>
      <c r="J50" s="1">
        <v>190604</v>
      </c>
      <c r="K50" s="1">
        <v>190737</v>
      </c>
      <c r="L50" s="1">
        <v>191005</v>
      </c>
      <c r="M50" s="1">
        <v>191437</v>
      </c>
      <c r="N50" s="1">
        <v>191709</v>
      </c>
      <c r="O50" s="1">
        <v>191856</v>
      </c>
      <c r="P50" s="1">
        <v>191913</v>
      </c>
      <c r="Q50" s="1">
        <v>192064</v>
      </c>
      <c r="R50" s="1">
        <v>192168</v>
      </c>
      <c r="S50" s="1">
        <v>192178</v>
      </c>
      <c r="T50" s="1">
        <v>192189</v>
      </c>
      <c r="U50" s="1">
        <v>191983</v>
      </c>
      <c r="V50" s="1">
        <v>192241</v>
      </c>
      <c r="W50" s="1">
        <v>192199</v>
      </c>
    </row>
    <row r="51" spans="1:23" ht="20" customHeight="1">
      <c r="A51" s="8" t="s">
        <v>60</v>
      </c>
      <c r="B51" s="1">
        <v>109735</v>
      </c>
      <c r="C51" s="1">
        <v>109712</v>
      </c>
      <c r="D51" s="1">
        <v>109717</v>
      </c>
      <c r="E51" s="1">
        <v>109679</v>
      </c>
      <c r="F51" s="1">
        <v>109674</v>
      </c>
      <c r="G51" s="1">
        <v>109527</v>
      </c>
      <c r="H51" s="1">
        <v>109360</v>
      </c>
      <c r="I51" s="1">
        <v>108907</v>
      </c>
      <c r="J51" s="1">
        <v>108381</v>
      </c>
      <c r="K51" s="1">
        <v>107825</v>
      </c>
      <c r="L51" s="1">
        <v>107328</v>
      </c>
      <c r="M51" s="1">
        <v>106972</v>
      </c>
      <c r="N51" s="1">
        <v>106272</v>
      </c>
      <c r="O51" s="1">
        <v>105240</v>
      </c>
      <c r="P51" s="1">
        <v>104367</v>
      </c>
      <c r="Q51" s="1">
        <v>104187</v>
      </c>
      <c r="R51" s="1">
        <v>104057</v>
      </c>
      <c r="S51" s="1">
        <v>103992</v>
      </c>
      <c r="T51" s="1">
        <v>103860</v>
      </c>
      <c r="U51" s="1">
        <v>103504</v>
      </c>
      <c r="V51" s="1">
        <v>103335</v>
      </c>
      <c r="W51" s="1">
        <v>103241</v>
      </c>
    </row>
    <row r="52" spans="1:23" ht="20" customHeight="1">
      <c r="A52" s="8" t="s">
        <v>61</v>
      </c>
      <c r="B52" s="1">
        <v>213989</v>
      </c>
      <c r="C52" s="1">
        <v>213907</v>
      </c>
      <c r="D52" s="1">
        <v>213830</v>
      </c>
      <c r="E52" s="1">
        <v>213827</v>
      </c>
      <c r="F52" s="1">
        <v>214175</v>
      </c>
      <c r="G52" s="1">
        <v>215200</v>
      </c>
      <c r="H52" s="1">
        <v>215776</v>
      </c>
      <c r="I52" s="1">
        <v>215694</v>
      </c>
      <c r="J52" s="1">
        <v>215700</v>
      </c>
      <c r="K52" s="1">
        <v>215721</v>
      </c>
      <c r="L52" s="1">
        <v>215799</v>
      </c>
      <c r="M52" s="1">
        <v>216075</v>
      </c>
      <c r="N52" s="1">
        <v>216340</v>
      </c>
      <c r="O52" s="1">
        <v>216381</v>
      </c>
      <c r="P52" s="1">
        <v>216412</v>
      </c>
      <c r="Q52" s="1">
        <v>216345</v>
      </c>
      <c r="R52" s="1">
        <v>216249</v>
      </c>
      <c r="S52" s="1">
        <v>216023</v>
      </c>
      <c r="T52" s="1">
        <v>215784</v>
      </c>
      <c r="U52" s="1">
        <v>215485</v>
      </c>
      <c r="V52" s="1">
        <v>215203</v>
      </c>
      <c r="W52" s="1">
        <v>215305</v>
      </c>
    </row>
    <row r="53" spans="1:23" ht="20" customHeight="1">
      <c r="A53" s="8" t="s">
        <v>62</v>
      </c>
      <c r="B53" s="1">
        <v>72679</v>
      </c>
      <c r="C53" s="1">
        <v>72644</v>
      </c>
      <c r="D53" s="1">
        <v>72584</v>
      </c>
      <c r="E53" s="1">
        <v>72507</v>
      </c>
      <c r="F53" s="1">
        <v>72440</v>
      </c>
      <c r="G53" s="1">
        <v>72381</v>
      </c>
      <c r="H53" s="1">
        <v>72304</v>
      </c>
      <c r="I53" s="1">
        <v>72132</v>
      </c>
      <c r="J53" s="1">
        <v>72060</v>
      </c>
      <c r="K53" s="1">
        <v>72067</v>
      </c>
      <c r="L53" s="1">
        <v>72101</v>
      </c>
      <c r="M53" s="1">
        <v>72294</v>
      </c>
      <c r="N53" s="1">
        <v>72404</v>
      </c>
      <c r="O53" s="1">
        <v>72479</v>
      </c>
      <c r="P53" s="1">
        <v>72475</v>
      </c>
      <c r="Q53" s="1">
        <v>72394</v>
      </c>
      <c r="R53" s="1">
        <v>72429</v>
      </c>
      <c r="S53" s="1">
        <v>72377</v>
      </c>
      <c r="T53" s="1">
        <v>72341</v>
      </c>
      <c r="U53" s="1">
        <v>72248</v>
      </c>
      <c r="V53" s="1">
        <v>72230</v>
      </c>
      <c r="W53" s="1">
        <v>72166</v>
      </c>
    </row>
    <row r="54" spans="1:23" ht="20" customHeight="1">
      <c r="A54" s="8" t="s">
        <v>63</v>
      </c>
      <c r="B54" s="1">
        <v>63862</v>
      </c>
      <c r="C54" s="1">
        <v>64081</v>
      </c>
      <c r="D54" s="1">
        <v>64260</v>
      </c>
      <c r="E54" s="1">
        <v>64375</v>
      </c>
      <c r="F54" s="1">
        <v>64465</v>
      </c>
      <c r="G54" s="1">
        <v>64558</v>
      </c>
      <c r="H54" s="1">
        <v>64609</v>
      </c>
      <c r="I54" s="1">
        <v>64590</v>
      </c>
      <c r="J54" s="1">
        <v>64586</v>
      </c>
      <c r="K54" s="1">
        <v>64714</v>
      </c>
      <c r="L54" s="1">
        <v>64758</v>
      </c>
      <c r="M54" s="1">
        <v>64972</v>
      </c>
      <c r="N54" s="1">
        <v>65132</v>
      </c>
      <c r="O54" s="1">
        <v>65225</v>
      </c>
      <c r="P54" s="1">
        <v>65230</v>
      </c>
      <c r="Q54" s="1">
        <v>65273</v>
      </c>
      <c r="R54" s="1">
        <v>65338</v>
      </c>
      <c r="S54" s="1">
        <v>65373</v>
      </c>
      <c r="T54" s="1">
        <v>65378</v>
      </c>
      <c r="U54" s="1">
        <v>65316</v>
      </c>
      <c r="V54" s="1">
        <v>65120</v>
      </c>
      <c r="W54" s="1">
        <v>64995</v>
      </c>
    </row>
    <row r="55" spans="1:23" ht="20" customHeight="1">
      <c r="A55" s="8" t="s">
        <v>64</v>
      </c>
      <c r="B55" s="1">
        <v>187898</v>
      </c>
      <c r="C55" s="1">
        <v>187977</v>
      </c>
      <c r="D55" s="1">
        <v>188020</v>
      </c>
      <c r="E55" s="1">
        <v>187981</v>
      </c>
      <c r="F55" s="1">
        <v>187978</v>
      </c>
      <c r="G55" s="1">
        <v>187877</v>
      </c>
      <c r="H55" s="1">
        <v>187900</v>
      </c>
      <c r="I55" s="1">
        <v>187858</v>
      </c>
      <c r="J55" s="1">
        <v>187680</v>
      </c>
      <c r="K55" s="1">
        <v>188097</v>
      </c>
      <c r="L55" s="1">
        <v>188277</v>
      </c>
      <c r="M55" s="1">
        <v>188620</v>
      </c>
      <c r="N55" s="1">
        <v>188653</v>
      </c>
      <c r="O55" s="1">
        <v>188694</v>
      </c>
      <c r="P55" s="1">
        <v>188736</v>
      </c>
      <c r="Q55" s="1">
        <v>188664</v>
      </c>
      <c r="R55" s="1">
        <v>188789</v>
      </c>
      <c r="S55" s="1">
        <v>188826</v>
      </c>
      <c r="T55" s="1">
        <v>188803</v>
      </c>
      <c r="U55" s="1">
        <v>188737</v>
      </c>
      <c r="V55" s="1">
        <v>188637</v>
      </c>
      <c r="W55" s="1">
        <v>188651</v>
      </c>
    </row>
    <row r="56" spans="1:23" ht="20" customHeight="1">
      <c r="A56" s="8" t="s">
        <v>65</v>
      </c>
      <c r="B56" s="1">
        <v>126758</v>
      </c>
      <c r="C56" s="1">
        <v>126685</v>
      </c>
      <c r="D56" s="1">
        <v>126728</v>
      </c>
      <c r="E56" s="1">
        <v>126665</v>
      </c>
      <c r="F56" s="1">
        <v>126447</v>
      </c>
      <c r="G56" s="1">
        <v>126352</v>
      </c>
      <c r="H56" s="1">
        <v>126218</v>
      </c>
      <c r="I56" s="1">
        <v>126053</v>
      </c>
      <c r="J56" s="1">
        <v>125795</v>
      </c>
      <c r="K56" s="1">
        <v>125640</v>
      </c>
      <c r="L56" s="1">
        <v>125549</v>
      </c>
      <c r="M56" s="1">
        <v>125606</v>
      </c>
      <c r="N56" s="1">
        <v>126187</v>
      </c>
      <c r="O56" s="1">
        <v>126806</v>
      </c>
      <c r="P56" s="1">
        <v>127102</v>
      </c>
      <c r="Q56" s="1">
        <v>127348</v>
      </c>
      <c r="R56" s="1">
        <v>127493</v>
      </c>
      <c r="S56" s="1">
        <v>127642</v>
      </c>
      <c r="T56" s="1">
        <v>127698</v>
      </c>
      <c r="U56" s="1">
        <v>127689</v>
      </c>
      <c r="V56" s="1">
        <v>127664</v>
      </c>
      <c r="W56" s="1">
        <v>127670</v>
      </c>
    </row>
    <row r="57" spans="1:23" ht="20" customHeight="1">
      <c r="A57" s="8" t="s">
        <v>66</v>
      </c>
      <c r="B57" s="1">
        <v>226387</v>
      </c>
      <c r="C57" s="1">
        <v>226289</v>
      </c>
      <c r="D57" s="1">
        <v>226249</v>
      </c>
      <c r="E57" s="1">
        <v>226224</v>
      </c>
      <c r="F57" s="1">
        <v>225845</v>
      </c>
      <c r="G57" s="1">
        <v>225493</v>
      </c>
      <c r="H57" s="1">
        <v>225302</v>
      </c>
      <c r="I57" s="1">
        <v>224875</v>
      </c>
      <c r="J57" s="1">
        <v>224365</v>
      </c>
      <c r="K57" s="1">
        <v>224268</v>
      </c>
      <c r="L57" s="1">
        <v>224237</v>
      </c>
      <c r="M57" s="1">
        <v>224332</v>
      </c>
      <c r="N57" s="1">
        <v>224419</v>
      </c>
      <c r="O57" s="1">
        <v>224315</v>
      </c>
      <c r="P57" s="1">
        <v>224337</v>
      </c>
      <c r="Q57" s="1">
        <v>224306</v>
      </c>
      <c r="R57" s="1">
        <v>224498</v>
      </c>
      <c r="S57" s="1">
        <v>224733</v>
      </c>
      <c r="T57" s="1">
        <v>224756</v>
      </c>
      <c r="U57" s="1">
        <v>224722</v>
      </c>
      <c r="V57" s="1">
        <v>224700</v>
      </c>
      <c r="W57" s="1">
        <v>224816</v>
      </c>
    </row>
    <row r="58" spans="1:23" ht="20" customHeight="1">
      <c r="A58" s="8" t="s">
        <v>67</v>
      </c>
      <c r="B58" s="1">
        <v>195013</v>
      </c>
      <c r="C58" s="1">
        <v>195178</v>
      </c>
      <c r="D58" s="1">
        <v>195194</v>
      </c>
      <c r="E58" s="1">
        <v>195189</v>
      </c>
      <c r="F58" s="1">
        <v>195811</v>
      </c>
      <c r="G58" s="1">
        <v>196193</v>
      </c>
      <c r="H58" s="1">
        <v>196206</v>
      </c>
      <c r="I58" s="1">
        <v>196239</v>
      </c>
      <c r="J58" s="1">
        <v>196079</v>
      </c>
      <c r="K58" s="1">
        <v>196607</v>
      </c>
      <c r="L58" s="1">
        <v>196899</v>
      </c>
      <c r="M58" s="1">
        <v>197268</v>
      </c>
      <c r="N58" s="1">
        <v>197663</v>
      </c>
      <c r="O58" s="1">
        <v>198109</v>
      </c>
      <c r="P58" s="1">
        <v>198511</v>
      </c>
      <c r="Q58" s="1">
        <v>198835</v>
      </c>
      <c r="R58" s="1">
        <v>199193</v>
      </c>
      <c r="S58" s="1">
        <v>199511</v>
      </c>
      <c r="T58" s="1">
        <v>200463</v>
      </c>
      <c r="U58" s="1">
        <v>201038</v>
      </c>
      <c r="V58" s="1">
        <v>201234</v>
      </c>
      <c r="W58" s="1">
        <v>201075</v>
      </c>
    </row>
    <row r="59" spans="1:23" ht="20" customHeight="1">
      <c r="A59" s="8" t="s">
        <v>68</v>
      </c>
      <c r="B59" s="1">
        <v>219569</v>
      </c>
      <c r="C59" s="1">
        <v>219660</v>
      </c>
      <c r="D59" s="1">
        <v>219732</v>
      </c>
      <c r="E59" s="1">
        <v>219959</v>
      </c>
      <c r="F59" s="1">
        <v>219946</v>
      </c>
      <c r="G59" s="1">
        <v>220018</v>
      </c>
      <c r="H59" s="1">
        <v>220016</v>
      </c>
      <c r="I59" s="1">
        <v>220034</v>
      </c>
      <c r="J59" s="1">
        <v>221574</v>
      </c>
      <c r="K59" s="1">
        <v>223271</v>
      </c>
      <c r="L59" s="1">
        <v>224024</v>
      </c>
      <c r="M59" s="1">
        <v>224353</v>
      </c>
      <c r="N59" s="1">
        <v>224412</v>
      </c>
      <c r="O59" s="1">
        <v>224470</v>
      </c>
      <c r="P59" s="1">
        <v>224509</v>
      </c>
      <c r="Q59" s="1">
        <v>224613</v>
      </c>
      <c r="R59" s="1">
        <v>224635</v>
      </c>
      <c r="S59" s="1">
        <v>224672</v>
      </c>
      <c r="T59" s="1">
        <v>224650</v>
      </c>
      <c r="U59" s="1">
        <v>224464</v>
      </c>
      <c r="V59" s="1">
        <v>224321</v>
      </c>
      <c r="W59" s="1">
        <v>224988</v>
      </c>
    </row>
    <row r="60" spans="1:23" ht="20" customHeight="1">
      <c r="A60" s="8" t="s">
        <v>69</v>
      </c>
      <c r="B60" s="1">
        <v>253473</v>
      </c>
      <c r="C60" s="1">
        <v>254490</v>
      </c>
      <c r="D60" s="1">
        <v>255561</v>
      </c>
      <c r="E60" s="1">
        <v>256292</v>
      </c>
      <c r="F60" s="1">
        <v>258808</v>
      </c>
      <c r="G60" s="1">
        <v>261144</v>
      </c>
      <c r="H60" s="1">
        <v>263059</v>
      </c>
      <c r="I60" s="1">
        <v>264468</v>
      </c>
      <c r="J60" s="1">
        <v>265596</v>
      </c>
      <c r="K60" s="1">
        <v>266168</v>
      </c>
      <c r="L60" s="1">
        <v>266720</v>
      </c>
      <c r="M60" s="1">
        <v>267563</v>
      </c>
      <c r="N60" s="1">
        <v>268615</v>
      </c>
      <c r="O60" s="1">
        <v>269384</v>
      </c>
      <c r="P60" s="1">
        <v>269820</v>
      </c>
      <c r="Q60" s="1">
        <v>270043</v>
      </c>
      <c r="R60" s="1">
        <v>270318</v>
      </c>
      <c r="S60" s="1">
        <v>270396</v>
      </c>
      <c r="T60" s="1">
        <v>270619</v>
      </c>
      <c r="U60" s="1">
        <v>270858</v>
      </c>
      <c r="V60" s="1">
        <v>271065</v>
      </c>
      <c r="W60" s="1">
        <v>271798</v>
      </c>
    </row>
    <row r="61" spans="1:23" ht="20" customHeight="1">
      <c r="A61" s="8" t="s">
        <v>70</v>
      </c>
      <c r="B61" s="1">
        <v>157800</v>
      </c>
      <c r="C61" s="1">
        <v>158147</v>
      </c>
      <c r="D61" s="1">
        <v>158409</v>
      </c>
      <c r="E61" s="1">
        <v>158561</v>
      </c>
      <c r="F61" s="1">
        <v>158575</v>
      </c>
      <c r="G61" s="1">
        <v>158542</v>
      </c>
      <c r="H61" s="1">
        <v>158949</v>
      </c>
      <c r="I61" s="1">
        <v>159414</v>
      </c>
      <c r="J61" s="1">
        <v>159777</v>
      </c>
      <c r="K61" s="1">
        <v>159905</v>
      </c>
      <c r="L61" s="1">
        <v>159854</v>
      </c>
      <c r="M61" s="1">
        <v>160078</v>
      </c>
      <c r="N61" s="1">
        <v>161090</v>
      </c>
      <c r="O61" s="1">
        <v>161456</v>
      </c>
      <c r="P61" s="1">
        <v>161631</v>
      </c>
      <c r="Q61" s="1">
        <v>161797</v>
      </c>
      <c r="R61" s="1">
        <v>162380</v>
      </c>
      <c r="S61" s="1">
        <v>162904</v>
      </c>
      <c r="T61" s="1">
        <v>163640</v>
      </c>
      <c r="U61" s="1">
        <v>163910</v>
      </c>
      <c r="V61" s="1">
        <v>164038</v>
      </c>
      <c r="W61" s="1">
        <v>163940</v>
      </c>
    </row>
    <row r="62" spans="1:23" ht="20" customHeight="1">
      <c r="A62" s="8" t="s">
        <v>71</v>
      </c>
      <c r="B62" s="1">
        <v>76484</v>
      </c>
      <c r="C62" s="1">
        <v>77145</v>
      </c>
      <c r="D62" s="1">
        <v>77663</v>
      </c>
      <c r="E62" s="1">
        <v>77965</v>
      </c>
      <c r="F62" s="1">
        <v>78165</v>
      </c>
      <c r="G62" s="1">
        <v>78276</v>
      </c>
      <c r="H62" s="1">
        <v>78508</v>
      </c>
      <c r="I62" s="1">
        <v>78924</v>
      </c>
      <c r="J62" s="1">
        <v>79155</v>
      </c>
      <c r="K62" s="1">
        <v>79520</v>
      </c>
      <c r="L62" s="1">
        <v>79803</v>
      </c>
      <c r="M62" s="1">
        <v>80770</v>
      </c>
      <c r="N62" s="1">
        <v>81243</v>
      </c>
      <c r="O62" s="1">
        <v>81548</v>
      </c>
      <c r="P62" s="1">
        <v>81811</v>
      </c>
      <c r="Q62" s="1">
        <v>82304</v>
      </c>
      <c r="R62" s="1">
        <v>82631</v>
      </c>
      <c r="S62" s="1">
        <v>82772</v>
      </c>
      <c r="T62" s="1">
        <v>82994</v>
      </c>
      <c r="U62" s="1">
        <v>83154</v>
      </c>
      <c r="V62" s="1">
        <v>83444</v>
      </c>
      <c r="W62" s="1">
        <v>83800</v>
      </c>
    </row>
  </sheetData>
  <autoFilter ref="B1:W62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8E21D-0370-FD4B-AA9D-2BC2DDE9140C}">
  <dimension ref="A1:W62"/>
  <sheetViews>
    <sheetView zoomScale="70" zoomScaleNormal="70" workbookViewId="0">
      <selection sqref="A1:XFD1"/>
    </sheetView>
  </sheetViews>
  <sheetFormatPr baseColWidth="10" defaultColWidth="21.1640625" defaultRowHeight="17"/>
  <cols>
    <col min="1" max="1" width="22.33203125" style="10" customWidth="1"/>
  </cols>
  <sheetData>
    <row r="1" spans="1:23" s="13" customFormat="1" ht="20" customHeight="1">
      <c r="A1" s="11" t="s">
        <v>1</v>
      </c>
      <c r="B1" s="12" t="s">
        <v>2</v>
      </c>
      <c r="C1" s="12" t="s">
        <v>3</v>
      </c>
      <c r="D1" s="12" t="s">
        <v>4</v>
      </c>
      <c r="E1" s="12" t="s">
        <v>5</v>
      </c>
      <c r="F1" s="12" t="s">
        <v>6</v>
      </c>
      <c r="G1" s="12" t="s">
        <v>7</v>
      </c>
      <c r="H1" s="12" t="s">
        <v>8</v>
      </c>
      <c r="I1" s="12" t="s">
        <v>9</v>
      </c>
      <c r="J1" s="12" t="s">
        <v>10</v>
      </c>
      <c r="K1" s="12" t="s">
        <v>11</v>
      </c>
      <c r="L1" s="12" t="s">
        <v>73</v>
      </c>
      <c r="M1" s="12" t="s">
        <v>74</v>
      </c>
      <c r="N1" s="12" t="s">
        <v>75</v>
      </c>
      <c r="O1" s="12" t="s">
        <v>76</v>
      </c>
      <c r="P1" s="12" t="s">
        <v>77</v>
      </c>
      <c r="Q1" s="12" t="s">
        <v>78</v>
      </c>
      <c r="R1" s="12" t="s">
        <v>79</v>
      </c>
      <c r="S1" s="12" t="s">
        <v>80</v>
      </c>
      <c r="T1" s="12" t="s">
        <v>81</v>
      </c>
      <c r="U1" s="12" t="s">
        <v>82</v>
      </c>
      <c r="V1" s="12" t="s">
        <v>83</v>
      </c>
      <c r="W1" s="12" t="s">
        <v>84</v>
      </c>
    </row>
    <row r="2" spans="1:23" ht="20" customHeight="1">
      <c r="A2" s="8" t="s">
        <v>12</v>
      </c>
      <c r="B2" s="3">
        <v>114</v>
      </c>
      <c r="C2" s="3">
        <v>117</v>
      </c>
      <c r="D2" s="3">
        <v>117</v>
      </c>
      <c r="E2" s="3">
        <v>117</v>
      </c>
      <c r="F2" s="3">
        <v>116</v>
      </c>
      <c r="G2" s="3">
        <v>116</v>
      </c>
      <c r="H2" s="3">
        <v>116</v>
      </c>
      <c r="I2" s="3">
        <v>116</v>
      </c>
      <c r="J2" s="3">
        <v>116</v>
      </c>
      <c r="K2" s="3">
        <v>116</v>
      </c>
      <c r="L2" s="4">
        <v>116</v>
      </c>
      <c r="M2" s="4">
        <v>116</v>
      </c>
      <c r="N2" s="4">
        <v>116</v>
      </c>
      <c r="O2" s="4">
        <v>115</v>
      </c>
      <c r="P2" s="4">
        <v>115</v>
      </c>
      <c r="Q2" s="4">
        <v>115</v>
      </c>
      <c r="R2" s="4">
        <v>118</v>
      </c>
      <c r="S2" s="4">
        <v>118</v>
      </c>
      <c r="T2" s="4">
        <v>118</v>
      </c>
      <c r="U2" s="3">
        <v>120</v>
      </c>
      <c r="V2" s="3">
        <v>120</v>
      </c>
      <c r="W2" s="3">
        <v>120</v>
      </c>
    </row>
    <row r="3" spans="1:23" ht="20" customHeight="1">
      <c r="A3" s="8" t="s">
        <v>13</v>
      </c>
      <c r="B3" s="5">
        <f>765+507+528</f>
        <v>1800</v>
      </c>
      <c r="C3" s="5">
        <f>769+513+533</f>
        <v>1815</v>
      </c>
      <c r="D3" s="5">
        <f>769+513+533</f>
        <v>1815</v>
      </c>
      <c r="E3" s="5">
        <f>769+513+533</f>
        <v>1815</v>
      </c>
      <c r="F3" s="5">
        <f>778+522+529</f>
        <v>1829</v>
      </c>
      <c r="G3" s="5">
        <f>778+522+529</f>
        <v>1829</v>
      </c>
      <c r="H3" s="5">
        <f>778+522+529</f>
        <v>1829</v>
      </c>
      <c r="I3" s="5">
        <f>776+528+525</f>
        <v>1829</v>
      </c>
      <c r="J3" s="5">
        <f>776+528+525</f>
        <v>1829</v>
      </c>
      <c r="K3" s="5">
        <f>776+528+525</f>
        <v>1829</v>
      </c>
      <c r="L3" s="4">
        <v>1835</v>
      </c>
      <c r="M3" s="4">
        <v>1835</v>
      </c>
      <c r="N3" s="4">
        <v>1835</v>
      </c>
      <c r="O3" s="4">
        <v>1841</v>
      </c>
      <c r="P3" s="4">
        <v>1841</v>
      </c>
      <c r="Q3" s="4">
        <v>1841</v>
      </c>
      <c r="R3" s="4">
        <v>1856</v>
      </c>
      <c r="S3" s="4">
        <v>1856</v>
      </c>
      <c r="T3" s="4">
        <v>1856</v>
      </c>
      <c r="U3" s="5">
        <f>804+533+523</f>
        <v>1860</v>
      </c>
      <c r="V3" s="5">
        <f>804+533+523</f>
        <v>1860</v>
      </c>
      <c r="W3" s="5">
        <f>804+533+523</f>
        <v>1860</v>
      </c>
    </row>
    <row r="4" spans="1:23" ht="20" customHeight="1">
      <c r="A4" s="8" t="s">
        <v>14</v>
      </c>
      <c r="B4" s="5">
        <v>115</v>
      </c>
      <c r="C4" s="5">
        <v>118</v>
      </c>
      <c r="D4" s="5">
        <v>118</v>
      </c>
      <c r="E4" s="5">
        <v>118</v>
      </c>
      <c r="F4" s="3">
        <v>124</v>
      </c>
      <c r="G4" s="3">
        <v>124</v>
      </c>
      <c r="H4" s="3">
        <v>124</v>
      </c>
      <c r="I4" s="3">
        <v>122</v>
      </c>
      <c r="J4" s="3">
        <v>122</v>
      </c>
      <c r="K4" s="3">
        <v>122</v>
      </c>
      <c r="L4" s="4">
        <v>127</v>
      </c>
      <c r="M4" s="4">
        <v>127</v>
      </c>
      <c r="N4" s="4">
        <v>127</v>
      </c>
      <c r="O4" s="4">
        <v>128</v>
      </c>
      <c r="P4" s="4">
        <v>128</v>
      </c>
      <c r="Q4" s="4">
        <v>128</v>
      </c>
      <c r="R4" s="4">
        <v>131</v>
      </c>
      <c r="S4" s="4">
        <v>131</v>
      </c>
      <c r="T4" s="4">
        <v>131</v>
      </c>
      <c r="U4" s="3">
        <v>132</v>
      </c>
      <c r="V4" s="3">
        <v>132</v>
      </c>
      <c r="W4" s="3">
        <v>132</v>
      </c>
    </row>
    <row r="5" spans="1:23" ht="20" customHeight="1">
      <c r="A5" s="8" t="s">
        <v>15</v>
      </c>
      <c r="B5" s="5">
        <v>579</v>
      </c>
      <c r="C5" s="5">
        <v>582</v>
      </c>
      <c r="D5" s="5">
        <v>582</v>
      </c>
      <c r="E5" s="5">
        <v>582</v>
      </c>
      <c r="F5" s="5">
        <v>583</v>
      </c>
      <c r="G5" s="5">
        <v>583</v>
      </c>
      <c r="H5" s="5">
        <v>583</v>
      </c>
      <c r="I5" s="5">
        <v>583</v>
      </c>
      <c r="J5" s="5">
        <v>583</v>
      </c>
      <c r="K5" s="5">
        <v>583</v>
      </c>
      <c r="L5" s="4">
        <v>587</v>
      </c>
      <c r="M5" s="4">
        <v>587</v>
      </c>
      <c r="N5" s="4">
        <v>587</v>
      </c>
      <c r="O5" s="4">
        <v>587</v>
      </c>
      <c r="P5" s="4">
        <v>587</v>
      </c>
      <c r="Q5" s="4">
        <v>587</v>
      </c>
      <c r="R5" s="4">
        <v>596</v>
      </c>
      <c r="S5" s="4">
        <v>596</v>
      </c>
      <c r="T5" s="4">
        <v>596</v>
      </c>
      <c r="U5" s="5">
        <v>597</v>
      </c>
      <c r="V5" s="5">
        <v>597</v>
      </c>
      <c r="W5" s="5">
        <v>597</v>
      </c>
    </row>
    <row r="6" spans="1:23" ht="20" customHeight="1">
      <c r="A6" s="8" t="s">
        <v>0</v>
      </c>
      <c r="B6" s="3">
        <v>443</v>
      </c>
      <c r="C6" s="3">
        <v>450</v>
      </c>
      <c r="D6" s="3">
        <v>450</v>
      </c>
      <c r="E6" s="3">
        <v>450</v>
      </c>
      <c r="F6" s="3">
        <v>455</v>
      </c>
      <c r="G6" s="3">
        <v>455</v>
      </c>
      <c r="H6" s="3">
        <v>455</v>
      </c>
      <c r="I6" s="3">
        <v>458</v>
      </c>
      <c r="J6" s="3">
        <v>458</v>
      </c>
      <c r="K6" s="3">
        <v>458</v>
      </c>
      <c r="L6" s="4">
        <v>464</v>
      </c>
      <c r="M6" s="4">
        <v>464</v>
      </c>
      <c r="N6" s="4">
        <v>464</v>
      </c>
      <c r="O6" s="4">
        <v>467</v>
      </c>
      <c r="P6" s="4">
        <v>467</v>
      </c>
      <c r="Q6" s="4">
        <v>467</v>
      </c>
      <c r="R6" s="4">
        <v>473</v>
      </c>
      <c r="S6" s="4">
        <v>473</v>
      </c>
      <c r="T6" s="4">
        <v>473</v>
      </c>
      <c r="U6" s="3">
        <v>476</v>
      </c>
      <c r="V6" s="3">
        <v>476</v>
      </c>
      <c r="W6" s="3">
        <v>476</v>
      </c>
    </row>
    <row r="7" spans="1:23" ht="20" customHeight="1">
      <c r="A7" s="8" t="s">
        <v>16</v>
      </c>
      <c r="B7" s="5">
        <v>440</v>
      </c>
      <c r="C7" s="5">
        <v>442</v>
      </c>
      <c r="D7" s="5">
        <v>442</v>
      </c>
      <c r="E7" s="5">
        <v>442</v>
      </c>
      <c r="F7" s="3">
        <v>443</v>
      </c>
      <c r="G7" s="3">
        <v>443</v>
      </c>
      <c r="H7" s="3">
        <v>443</v>
      </c>
      <c r="I7" s="3">
        <v>447</v>
      </c>
      <c r="J7" s="3">
        <v>447</v>
      </c>
      <c r="K7" s="3">
        <v>447</v>
      </c>
      <c r="L7" s="4">
        <v>447</v>
      </c>
      <c r="M7" s="4">
        <v>447</v>
      </c>
      <c r="N7" s="4">
        <v>447</v>
      </c>
      <c r="O7" s="4">
        <v>452</v>
      </c>
      <c r="P7" s="4">
        <v>452</v>
      </c>
      <c r="Q7" s="4">
        <v>452</v>
      </c>
      <c r="R7" s="4">
        <v>454</v>
      </c>
      <c r="S7" s="4">
        <v>454</v>
      </c>
      <c r="T7" s="4">
        <v>454</v>
      </c>
      <c r="U7" s="3">
        <v>453</v>
      </c>
      <c r="V7" s="3">
        <v>453</v>
      </c>
      <c r="W7" s="3">
        <v>453</v>
      </c>
    </row>
    <row r="8" spans="1:23" ht="20" customHeight="1">
      <c r="A8" s="8" t="s">
        <v>17</v>
      </c>
      <c r="B8" s="5">
        <v>431</v>
      </c>
      <c r="C8" s="5">
        <v>433</v>
      </c>
      <c r="D8" s="5">
        <v>433</v>
      </c>
      <c r="E8" s="5">
        <v>433</v>
      </c>
      <c r="F8" s="3">
        <v>434</v>
      </c>
      <c r="G8" s="3">
        <v>434</v>
      </c>
      <c r="H8" s="3">
        <v>434</v>
      </c>
      <c r="I8" s="3">
        <v>434</v>
      </c>
      <c r="J8" s="3">
        <v>434</v>
      </c>
      <c r="K8" s="3">
        <v>434</v>
      </c>
      <c r="L8" s="4">
        <v>439</v>
      </c>
      <c r="M8" s="4">
        <v>439</v>
      </c>
      <c r="N8" s="4">
        <v>439</v>
      </c>
      <c r="O8" s="4">
        <v>437</v>
      </c>
      <c r="P8" s="4">
        <v>437</v>
      </c>
      <c r="Q8" s="4">
        <v>437</v>
      </c>
      <c r="R8" s="4">
        <v>442</v>
      </c>
      <c r="S8" s="4">
        <v>442</v>
      </c>
      <c r="T8" s="4">
        <v>442</v>
      </c>
      <c r="U8" s="3">
        <v>439</v>
      </c>
      <c r="V8" s="3">
        <v>439</v>
      </c>
      <c r="W8" s="3">
        <v>439</v>
      </c>
    </row>
    <row r="9" spans="1:23" ht="20" customHeight="1">
      <c r="A9" s="8" t="s">
        <v>18</v>
      </c>
      <c r="B9" s="3">
        <v>717</v>
      </c>
      <c r="C9" s="3">
        <v>721</v>
      </c>
      <c r="D9" s="3">
        <v>721</v>
      </c>
      <c r="E9" s="3">
        <v>721</v>
      </c>
      <c r="F9" s="3">
        <v>722</v>
      </c>
      <c r="G9" s="3">
        <v>722</v>
      </c>
      <c r="H9" s="3">
        <v>722</v>
      </c>
      <c r="I9" s="3">
        <v>725</v>
      </c>
      <c r="J9" s="3">
        <v>725</v>
      </c>
      <c r="K9" s="3">
        <v>725</v>
      </c>
      <c r="L9" s="4">
        <v>732</v>
      </c>
      <c r="M9" s="4">
        <v>732</v>
      </c>
      <c r="N9" s="4">
        <v>732</v>
      </c>
      <c r="O9" s="4">
        <v>731</v>
      </c>
      <c r="P9" s="4">
        <v>731</v>
      </c>
      <c r="Q9" s="4">
        <v>731</v>
      </c>
      <c r="R9" s="4">
        <v>734</v>
      </c>
      <c r="S9" s="4">
        <v>734</v>
      </c>
      <c r="T9" s="4">
        <v>734</v>
      </c>
      <c r="U9" s="3">
        <v>733</v>
      </c>
      <c r="V9" s="3">
        <v>733</v>
      </c>
      <c r="W9" s="3">
        <v>733</v>
      </c>
    </row>
    <row r="10" spans="1:23" ht="20" customHeight="1">
      <c r="A10" s="8" t="s">
        <v>19</v>
      </c>
      <c r="B10" s="5">
        <v>1049</v>
      </c>
      <c r="C10" s="5">
        <v>1052</v>
      </c>
      <c r="D10" s="5">
        <v>1052</v>
      </c>
      <c r="E10" s="5">
        <v>1052</v>
      </c>
      <c r="F10" s="3">
        <v>1061</v>
      </c>
      <c r="G10" s="3">
        <v>1061</v>
      </c>
      <c r="H10" s="3">
        <v>1061</v>
      </c>
      <c r="I10" s="3">
        <v>1073</v>
      </c>
      <c r="J10" s="3">
        <v>1073</v>
      </c>
      <c r="K10" s="3">
        <v>1073</v>
      </c>
      <c r="L10" s="4">
        <v>1075</v>
      </c>
      <c r="M10" s="4">
        <v>1075</v>
      </c>
      <c r="N10" s="4">
        <v>1075</v>
      </c>
      <c r="O10" s="4">
        <v>1079</v>
      </c>
      <c r="P10" s="4">
        <v>1079</v>
      </c>
      <c r="Q10" s="4">
        <v>1079</v>
      </c>
      <c r="R10" s="4">
        <v>1091</v>
      </c>
      <c r="S10" s="4">
        <v>1091</v>
      </c>
      <c r="T10" s="4">
        <v>1091</v>
      </c>
      <c r="U10" s="3">
        <v>1104</v>
      </c>
      <c r="V10" s="3">
        <v>1104</v>
      </c>
      <c r="W10" s="3">
        <v>1104</v>
      </c>
    </row>
    <row r="11" spans="1:23" ht="20" customHeight="1">
      <c r="A11" s="8" t="s">
        <v>20</v>
      </c>
      <c r="B11" s="5">
        <v>132</v>
      </c>
      <c r="C11" s="5">
        <v>132</v>
      </c>
      <c r="D11" s="5">
        <v>132</v>
      </c>
      <c r="E11" s="5">
        <v>132</v>
      </c>
      <c r="F11" s="5">
        <v>133</v>
      </c>
      <c r="G11" s="5">
        <v>133</v>
      </c>
      <c r="H11" s="5">
        <v>133</v>
      </c>
      <c r="I11" s="5">
        <v>134</v>
      </c>
      <c r="J11" s="5">
        <v>134</v>
      </c>
      <c r="K11" s="5">
        <v>134</v>
      </c>
      <c r="L11" s="4">
        <v>133</v>
      </c>
      <c r="M11" s="4">
        <v>133</v>
      </c>
      <c r="N11" s="4">
        <v>133</v>
      </c>
      <c r="O11" s="4">
        <v>134</v>
      </c>
      <c r="P11" s="4">
        <v>134</v>
      </c>
      <c r="Q11" s="4">
        <v>134</v>
      </c>
      <c r="R11" s="4">
        <v>135</v>
      </c>
      <c r="S11" s="4">
        <v>135</v>
      </c>
      <c r="T11" s="4">
        <v>135</v>
      </c>
      <c r="U11" s="5">
        <v>136</v>
      </c>
      <c r="V11" s="5">
        <v>136</v>
      </c>
      <c r="W11" s="5">
        <v>136</v>
      </c>
    </row>
    <row r="12" spans="1:23" ht="20" customHeight="1">
      <c r="A12" s="8" t="s">
        <v>21</v>
      </c>
      <c r="B12" s="5">
        <v>1514</v>
      </c>
      <c r="C12" s="5">
        <v>1517</v>
      </c>
      <c r="D12" s="5">
        <v>1517</v>
      </c>
      <c r="E12" s="5">
        <v>1517</v>
      </c>
      <c r="F12" s="5">
        <v>1520</v>
      </c>
      <c r="G12" s="5">
        <v>1520</v>
      </c>
      <c r="H12" s="5">
        <v>1520</v>
      </c>
      <c r="I12" s="5">
        <v>1525</v>
      </c>
      <c r="J12" s="5">
        <v>1525</v>
      </c>
      <c r="K12" s="5">
        <v>1525</v>
      </c>
      <c r="L12" s="4">
        <v>1537</v>
      </c>
      <c r="M12" s="4">
        <v>1537</v>
      </c>
      <c r="N12" s="4">
        <v>1537</v>
      </c>
      <c r="O12" s="4">
        <v>1549</v>
      </c>
      <c r="P12" s="4">
        <v>1549</v>
      </c>
      <c r="Q12" s="4">
        <v>1549</v>
      </c>
      <c r="R12" s="4">
        <v>1550</v>
      </c>
      <c r="S12" s="4">
        <v>1550</v>
      </c>
      <c r="T12" s="4">
        <v>1550</v>
      </c>
      <c r="U12" s="5">
        <f>897+389+256</f>
        <v>1542</v>
      </c>
      <c r="V12" s="5">
        <f>897+389+256</f>
        <v>1542</v>
      </c>
      <c r="W12" s="5">
        <f>897+389+256</f>
        <v>1542</v>
      </c>
    </row>
    <row r="13" spans="1:23" ht="20" customHeight="1">
      <c r="A13" s="8" t="s">
        <v>22</v>
      </c>
      <c r="B13" s="5">
        <f>605+418+1265</f>
        <v>2288</v>
      </c>
      <c r="C13" s="5">
        <f>609+424+1270</f>
        <v>2303</v>
      </c>
      <c r="D13" s="5">
        <f>609+424+1270</f>
        <v>2303</v>
      </c>
      <c r="E13" s="5">
        <f>609+424+1270</f>
        <v>2303</v>
      </c>
      <c r="F13" s="5">
        <f>611+423+1281</f>
        <v>2315</v>
      </c>
      <c r="G13" s="5">
        <f>611+423+1281</f>
        <v>2315</v>
      </c>
      <c r="H13" s="5">
        <f>611+423+1281</f>
        <v>2315</v>
      </c>
      <c r="I13" s="5">
        <f>619+421+1296</f>
        <v>2336</v>
      </c>
      <c r="J13" s="5">
        <f>619+421+1296</f>
        <v>2336</v>
      </c>
      <c r="K13" s="5">
        <f>619+421+1296</f>
        <v>2336</v>
      </c>
      <c r="L13" s="4">
        <v>2361</v>
      </c>
      <c r="M13" s="4">
        <v>2361</v>
      </c>
      <c r="N13" s="4">
        <v>2361</v>
      </c>
      <c r="O13" s="4">
        <v>2376</v>
      </c>
      <c r="P13" s="4">
        <v>2376</v>
      </c>
      <c r="Q13" s="4">
        <v>2376</v>
      </c>
      <c r="R13" s="4">
        <v>2394</v>
      </c>
      <c r="S13" s="4">
        <v>2394</v>
      </c>
      <c r="T13" s="4">
        <v>2394</v>
      </c>
      <c r="U13" s="5">
        <f>641+433+1337</f>
        <v>2411</v>
      </c>
      <c r="V13" s="5">
        <f>641+433+1337</f>
        <v>2411</v>
      </c>
      <c r="W13" s="5">
        <f>641+433+1337</f>
        <v>2411</v>
      </c>
    </row>
    <row r="14" spans="1:23" ht="20" customHeight="1">
      <c r="A14" s="8" t="s">
        <v>23</v>
      </c>
      <c r="B14" s="5">
        <f>456+520+641+605</f>
        <v>2222</v>
      </c>
      <c r="C14" s="5">
        <f>461+520+638+665</f>
        <v>2284</v>
      </c>
      <c r="D14" s="5">
        <f>461+520+638+665</f>
        <v>2284</v>
      </c>
      <c r="E14" s="5">
        <f>461+520+638+665</f>
        <v>2284</v>
      </c>
      <c r="F14" s="5">
        <f>463+523+647+673</f>
        <v>2306</v>
      </c>
      <c r="G14" s="5">
        <f>463+523+647+673</f>
        <v>2306</v>
      </c>
      <c r="H14" s="5">
        <f>463+523+647+673</f>
        <v>2306</v>
      </c>
      <c r="I14" s="5">
        <f>459+521+654+670</f>
        <v>2304</v>
      </c>
      <c r="J14" s="5">
        <f>459+521+654+670</f>
        <v>2304</v>
      </c>
      <c r="K14" s="5">
        <f>459+521+654+670</f>
        <v>2304</v>
      </c>
      <c r="L14" s="4">
        <v>2325</v>
      </c>
      <c r="M14" s="4">
        <v>2325</v>
      </c>
      <c r="N14" s="4">
        <v>2325</v>
      </c>
      <c r="O14" s="4">
        <v>2339</v>
      </c>
      <c r="P14" s="4">
        <v>2339</v>
      </c>
      <c r="Q14" s="4">
        <v>2339</v>
      </c>
      <c r="R14" s="4">
        <v>2345</v>
      </c>
      <c r="S14" s="4">
        <v>2345</v>
      </c>
      <c r="T14" s="4">
        <v>2345</v>
      </c>
      <c r="U14" s="5">
        <f>476+511+679+691</f>
        <v>2357</v>
      </c>
      <c r="V14" s="5">
        <f>476+511+679+691</f>
        <v>2357</v>
      </c>
      <c r="W14" s="5">
        <f>476+511+679+691</f>
        <v>2357</v>
      </c>
    </row>
    <row r="15" spans="1:23" ht="20" customHeight="1">
      <c r="A15" s="8" t="s">
        <v>24</v>
      </c>
      <c r="B15" s="5">
        <v>742</v>
      </c>
      <c r="C15" s="5">
        <v>753</v>
      </c>
      <c r="D15" s="5">
        <v>753</v>
      </c>
      <c r="E15" s="5">
        <v>753</v>
      </c>
      <c r="F15" s="3">
        <v>754</v>
      </c>
      <c r="G15" s="3">
        <v>754</v>
      </c>
      <c r="H15" s="3">
        <v>754</v>
      </c>
      <c r="I15" s="3">
        <v>756</v>
      </c>
      <c r="J15" s="3">
        <v>756</v>
      </c>
      <c r="K15" s="3">
        <v>756</v>
      </c>
      <c r="L15" s="4">
        <v>754</v>
      </c>
      <c r="M15" s="4">
        <v>754</v>
      </c>
      <c r="N15" s="4">
        <v>754</v>
      </c>
      <c r="O15" s="4">
        <v>750</v>
      </c>
      <c r="P15" s="4">
        <v>750</v>
      </c>
      <c r="Q15" s="4">
        <v>750</v>
      </c>
      <c r="R15" s="4">
        <v>750</v>
      </c>
      <c r="S15" s="4">
        <v>750</v>
      </c>
      <c r="T15" s="4">
        <v>750</v>
      </c>
      <c r="U15" s="3">
        <v>751</v>
      </c>
      <c r="V15" s="3">
        <v>751</v>
      </c>
      <c r="W15" s="3">
        <v>751</v>
      </c>
    </row>
    <row r="16" spans="1:23" ht="20" customHeight="1">
      <c r="A16" s="8" t="s">
        <v>25</v>
      </c>
      <c r="B16" s="5">
        <f>416+654</f>
        <v>1070</v>
      </c>
      <c r="C16" s="5">
        <f>414+654</f>
        <v>1068</v>
      </c>
      <c r="D16" s="5">
        <f>414+654</f>
        <v>1068</v>
      </c>
      <c r="E16" s="5">
        <f>414+654</f>
        <v>1068</v>
      </c>
      <c r="F16" s="5">
        <f>419+653</f>
        <v>1072</v>
      </c>
      <c r="G16" s="5">
        <f>419+653</f>
        <v>1072</v>
      </c>
      <c r="H16" s="5">
        <f>419+653</f>
        <v>1072</v>
      </c>
      <c r="I16" s="5">
        <f>414+654</f>
        <v>1068</v>
      </c>
      <c r="J16" s="5">
        <f>414+654</f>
        <v>1068</v>
      </c>
      <c r="K16" s="5">
        <f>414+654</f>
        <v>1068</v>
      </c>
      <c r="L16" s="4">
        <v>1071</v>
      </c>
      <c r="M16" s="4">
        <v>1071</v>
      </c>
      <c r="N16" s="4">
        <v>1071</v>
      </c>
      <c r="O16" s="4">
        <v>1074</v>
      </c>
      <c r="P16" s="4">
        <v>1074</v>
      </c>
      <c r="Q16" s="4">
        <v>1074</v>
      </c>
      <c r="R16" s="4">
        <v>1075</v>
      </c>
      <c r="S16" s="4">
        <v>1075</v>
      </c>
      <c r="T16" s="4">
        <v>1075</v>
      </c>
      <c r="U16" s="5">
        <f>422+657</f>
        <v>1079</v>
      </c>
      <c r="V16" s="5">
        <f>422+657</f>
        <v>1079</v>
      </c>
      <c r="W16" s="5">
        <f>422+657</f>
        <v>1079</v>
      </c>
    </row>
    <row r="17" spans="1:23" ht="20" customHeight="1">
      <c r="A17" s="8" t="s">
        <v>26</v>
      </c>
      <c r="B17" s="5">
        <f>409+747</f>
        <v>1156</v>
      </c>
      <c r="C17" s="5">
        <f>413+754</f>
        <v>1167</v>
      </c>
      <c r="D17" s="5">
        <f>413+754</f>
        <v>1167</v>
      </c>
      <c r="E17" s="5">
        <f>413+754</f>
        <v>1167</v>
      </c>
      <c r="F17" s="5">
        <f>413+758</f>
        <v>1171</v>
      </c>
      <c r="G17" s="5">
        <f>413+758</f>
        <v>1171</v>
      </c>
      <c r="H17" s="5">
        <f>413+758</f>
        <v>1171</v>
      </c>
      <c r="I17" s="5">
        <f>413+764</f>
        <v>1177</v>
      </c>
      <c r="J17" s="5">
        <f>413+764</f>
        <v>1177</v>
      </c>
      <c r="K17" s="5">
        <f>413+764</f>
        <v>1177</v>
      </c>
      <c r="L17" s="4">
        <v>1184</v>
      </c>
      <c r="M17" s="4">
        <v>1184</v>
      </c>
      <c r="N17" s="4">
        <v>1184</v>
      </c>
      <c r="O17" s="4">
        <v>1181</v>
      </c>
      <c r="P17" s="4">
        <v>1181</v>
      </c>
      <c r="Q17" s="4">
        <v>1181</v>
      </c>
      <c r="R17" s="4">
        <v>1188</v>
      </c>
      <c r="S17" s="4">
        <v>1188</v>
      </c>
      <c r="T17" s="4">
        <v>1188</v>
      </c>
      <c r="U17" s="5">
        <f>413+775</f>
        <v>1188</v>
      </c>
      <c r="V17" s="5">
        <f>413+775</f>
        <v>1188</v>
      </c>
      <c r="W17" s="5">
        <f>413+775</f>
        <v>1188</v>
      </c>
    </row>
    <row r="18" spans="1:23" ht="20" customHeight="1">
      <c r="A18" s="8" t="s">
        <v>27</v>
      </c>
      <c r="B18" s="3">
        <v>302</v>
      </c>
      <c r="C18" s="3">
        <v>318</v>
      </c>
      <c r="D18" s="3">
        <v>318</v>
      </c>
      <c r="E18" s="3">
        <v>318</v>
      </c>
      <c r="F18" s="3">
        <v>322</v>
      </c>
      <c r="G18" s="3">
        <v>322</v>
      </c>
      <c r="H18" s="3">
        <v>322</v>
      </c>
      <c r="I18" s="3">
        <v>324</v>
      </c>
      <c r="J18" s="3">
        <v>324</v>
      </c>
      <c r="K18" s="3">
        <v>324</v>
      </c>
      <c r="L18" s="4">
        <v>325</v>
      </c>
      <c r="M18" s="4">
        <v>325</v>
      </c>
      <c r="N18" s="4">
        <v>325</v>
      </c>
      <c r="O18" s="4">
        <v>328</v>
      </c>
      <c r="P18" s="4">
        <v>328</v>
      </c>
      <c r="Q18" s="4">
        <v>328</v>
      </c>
      <c r="R18" s="4">
        <v>335</v>
      </c>
      <c r="S18" s="4">
        <v>335</v>
      </c>
      <c r="T18" s="4">
        <v>335</v>
      </c>
      <c r="U18" s="3">
        <v>332</v>
      </c>
      <c r="V18" s="3">
        <v>332</v>
      </c>
      <c r="W18" s="3">
        <v>332</v>
      </c>
    </row>
    <row r="19" spans="1:23" ht="20" customHeight="1">
      <c r="A19" s="8" t="s">
        <v>28</v>
      </c>
      <c r="B19" s="3">
        <v>194</v>
      </c>
      <c r="C19" s="3">
        <v>192</v>
      </c>
      <c r="D19" s="3">
        <v>192</v>
      </c>
      <c r="E19" s="3">
        <v>192</v>
      </c>
      <c r="F19" s="3">
        <v>192</v>
      </c>
      <c r="G19" s="3">
        <v>192</v>
      </c>
      <c r="H19" s="3">
        <v>192</v>
      </c>
      <c r="I19" s="3">
        <v>194</v>
      </c>
      <c r="J19" s="3">
        <v>194</v>
      </c>
      <c r="K19" s="3">
        <v>194</v>
      </c>
      <c r="L19" s="4">
        <v>194</v>
      </c>
      <c r="M19" s="4">
        <v>194</v>
      </c>
      <c r="N19" s="4">
        <v>194</v>
      </c>
      <c r="O19" s="4">
        <v>196</v>
      </c>
      <c r="P19" s="4">
        <v>196</v>
      </c>
      <c r="Q19" s="4">
        <v>196</v>
      </c>
      <c r="R19" s="4">
        <v>197</v>
      </c>
      <c r="S19" s="4">
        <v>197</v>
      </c>
      <c r="T19" s="4">
        <v>197</v>
      </c>
      <c r="U19" s="3">
        <v>195</v>
      </c>
      <c r="V19" s="3">
        <v>195</v>
      </c>
      <c r="W19" s="3">
        <v>195</v>
      </c>
    </row>
    <row r="20" spans="1:23" ht="20" customHeight="1">
      <c r="A20" s="8" t="s">
        <v>29</v>
      </c>
      <c r="B20" s="3">
        <v>192</v>
      </c>
      <c r="C20" s="3">
        <v>194</v>
      </c>
      <c r="D20" s="3">
        <v>194</v>
      </c>
      <c r="E20" s="3">
        <v>194</v>
      </c>
      <c r="F20" s="3">
        <v>191</v>
      </c>
      <c r="G20" s="3">
        <v>191</v>
      </c>
      <c r="H20" s="3">
        <v>191</v>
      </c>
      <c r="I20" s="3">
        <v>193</v>
      </c>
      <c r="J20" s="3">
        <v>193</v>
      </c>
      <c r="K20" s="3">
        <v>193</v>
      </c>
      <c r="L20" s="4">
        <v>193</v>
      </c>
      <c r="M20" s="4">
        <v>193</v>
      </c>
      <c r="N20" s="4">
        <v>193</v>
      </c>
      <c r="O20" s="4">
        <v>192</v>
      </c>
      <c r="P20" s="4">
        <v>192</v>
      </c>
      <c r="Q20" s="4">
        <v>192</v>
      </c>
      <c r="R20" s="4">
        <v>191</v>
      </c>
      <c r="S20" s="4">
        <v>191</v>
      </c>
      <c r="T20" s="4">
        <v>191</v>
      </c>
      <c r="U20" s="3">
        <v>191</v>
      </c>
      <c r="V20" s="3">
        <v>191</v>
      </c>
      <c r="W20" s="3">
        <v>191</v>
      </c>
    </row>
    <row r="21" spans="1:23" ht="20" customHeight="1">
      <c r="A21" s="8" t="s">
        <v>30</v>
      </c>
      <c r="B21" s="3">
        <v>70</v>
      </c>
      <c r="C21" s="3">
        <v>69</v>
      </c>
      <c r="D21" s="3">
        <v>69</v>
      </c>
      <c r="E21" s="3">
        <v>69</v>
      </c>
      <c r="F21" s="3">
        <v>71</v>
      </c>
      <c r="G21" s="3">
        <v>71</v>
      </c>
      <c r="H21" s="3">
        <v>71</v>
      </c>
      <c r="I21" s="3">
        <v>72</v>
      </c>
      <c r="J21" s="3">
        <v>72</v>
      </c>
      <c r="K21" s="3">
        <v>72</v>
      </c>
      <c r="L21" s="4">
        <v>72</v>
      </c>
      <c r="M21" s="4">
        <v>72</v>
      </c>
      <c r="N21" s="4">
        <v>72</v>
      </c>
      <c r="O21" s="4">
        <v>70</v>
      </c>
      <c r="P21" s="4">
        <v>70</v>
      </c>
      <c r="Q21" s="4">
        <v>70</v>
      </c>
      <c r="R21" s="4">
        <v>70</v>
      </c>
      <c r="S21" s="4">
        <v>70</v>
      </c>
      <c r="T21" s="4">
        <v>70</v>
      </c>
      <c r="U21" s="3">
        <v>74</v>
      </c>
      <c r="V21" s="3">
        <v>74</v>
      </c>
      <c r="W21" s="3">
        <v>74</v>
      </c>
    </row>
    <row r="22" spans="1:23" ht="20" customHeight="1">
      <c r="A22" s="8" t="s">
        <v>31</v>
      </c>
      <c r="B22" s="5">
        <v>325</v>
      </c>
      <c r="C22" s="5">
        <v>325</v>
      </c>
      <c r="D22" s="5">
        <v>325</v>
      </c>
      <c r="E22" s="5">
        <v>325</v>
      </c>
      <c r="F22" s="3">
        <v>326</v>
      </c>
      <c r="G22" s="3">
        <v>326</v>
      </c>
      <c r="H22" s="3">
        <v>326</v>
      </c>
      <c r="I22" s="3">
        <v>326</v>
      </c>
      <c r="J22" s="3">
        <v>326</v>
      </c>
      <c r="K22" s="3">
        <v>326</v>
      </c>
      <c r="L22" s="4">
        <v>329</v>
      </c>
      <c r="M22" s="4">
        <v>329</v>
      </c>
      <c r="N22" s="4">
        <v>329</v>
      </c>
      <c r="O22" s="4">
        <v>331</v>
      </c>
      <c r="P22" s="4">
        <v>331</v>
      </c>
      <c r="Q22" s="4">
        <v>331</v>
      </c>
      <c r="R22" s="4">
        <v>335</v>
      </c>
      <c r="S22" s="4">
        <v>335</v>
      </c>
      <c r="T22" s="4">
        <v>335</v>
      </c>
      <c r="U22" s="3">
        <v>342</v>
      </c>
      <c r="V22" s="3">
        <v>342</v>
      </c>
      <c r="W22" s="3">
        <v>342</v>
      </c>
    </row>
    <row r="23" spans="1:23" ht="20" customHeight="1">
      <c r="A23" s="8" t="s">
        <v>32</v>
      </c>
      <c r="B23" s="5">
        <f>342+638+586</f>
        <v>1566</v>
      </c>
      <c r="C23" s="5">
        <f>343+643+593</f>
        <v>1579</v>
      </c>
      <c r="D23" s="5">
        <f>343+643+593</f>
        <v>1579</v>
      </c>
      <c r="E23" s="5">
        <f>343+643+593</f>
        <v>1579</v>
      </c>
      <c r="F23" s="5">
        <f>439+648+593</f>
        <v>1680</v>
      </c>
      <c r="G23" s="5">
        <f>439+648+593</f>
        <v>1680</v>
      </c>
      <c r="H23" s="5">
        <f>439+648+593</f>
        <v>1680</v>
      </c>
      <c r="I23" s="5">
        <f>347+647+597</f>
        <v>1591</v>
      </c>
      <c r="J23" s="5">
        <f>347+647+597</f>
        <v>1591</v>
      </c>
      <c r="K23" s="5">
        <f>347+647+597</f>
        <v>1591</v>
      </c>
      <c r="L23" s="4">
        <v>1602</v>
      </c>
      <c r="M23" s="4">
        <v>1602</v>
      </c>
      <c r="N23" s="4">
        <v>1602</v>
      </c>
      <c r="O23" s="4">
        <v>1609</v>
      </c>
      <c r="P23" s="4">
        <v>1609</v>
      </c>
      <c r="Q23" s="4">
        <v>1609</v>
      </c>
      <c r="R23" s="4">
        <v>1619</v>
      </c>
      <c r="S23" s="4">
        <v>1619</v>
      </c>
      <c r="T23" s="4">
        <v>1619</v>
      </c>
      <c r="U23" s="5">
        <f>359+655+602</f>
        <v>1616</v>
      </c>
      <c r="V23" s="5">
        <f>359+655+602</f>
        <v>1616</v>
      </c>
      <c r="W23" s="5">
        <f>359+655+602</f>
        <v>1616</v>
      </c>
    </row>
    <row r="24" spans="1:23" ht="20" customHeight="1">
      <c r="A24" s="8" t="s">
        <v>33</v>
      </c>
      <c r="B24" s="5">
        <v>208</v>
      </c>
      <c r="C24" s="5">
        <v>209</v>
      </c>
      <c r="D24" s="5">
        <v>209</v>
      </c>
      <c r="E24" s="5">
        <v>209</v>
      </c>
      <c r="F24" s="3">
        <v>210</v>
      </c>
      <c r="G24" s="3">
        <v>210</v>
      </c>
      <c r="H24" s="3">
        <v>210</v>
      </c>
      <c r="I24" s="3">
        <v>212</v>
      </c>
      <c r="J24" s="3">
        <v>212</v>
      </c>
      <c r="K24" s="3">
        <v>212</v>
      </c>
      <c r="L24" s="4">
        <v>213</v>
      </c>
      <c r="M24" s="4">
        <v>213</v>
      </c>
      <c r="N24" s="4">
        <v>213</v>
      </c>
      <c r="O24" s="4">
        <v>213</v>
      </c>
      <c r="P24" s="4">
        <v>213</v>
      </c>
      <c r="Q24" s="4">
        <v>213</v>
      </c>
      <c r="R24" s="4">
        <v>213</v>
      </c>
      <c r="S24" s="4">
        <v>213</v>
      </c>
      <c r="T24" s="4">
        <v>213</v>
      </c>
      <c r="U24" s="3">
        <v>213</v>
      </c>
      <c r="V24" s="3">
        <v>213</v>
      </c>
      <c r="W24" s="3">
        <v>213</v>
      </c>
    </row>
    <row r="25" spans="1:23" ht="20" customHeight="1">
      <c r="A25" s="8" t="s">
        <v>34</v>
      </c>
      <c r="B25" s="5">
        <v>807</v>
      </c>
      <c r="C25" s="5">
        <v>811</v>
      </c>
      <c r="D25" s="5">
        <v>812</v>
      </c>
      <c r="E25" s="5">
        <v>813</v>
      </c>
      <c r="F25" s="5">
        <v>812</v>
      </c>
      <c r="G25" s="5">
        <v>813</v>
      </c>
      <c r="H25" s="5">
        <v>814</v>
      </c>
      <c r="I25" s="5">
        <v>809</v>
      </c>
      <c r="J25" s="5">
        <v>810</v>
      </c>
      <c r="K25" s="5">
        <v>811</v>
      </c>
      <c r="L25" s="4">
        <v>816</v>
      </c>
      <c r="M25" s="4">
        <v>816</v>
      </c>
      <c r="N25" s="4">
        <v>816</v>
      </c>
      <c r="O25" s="4">
        <v>817</v>
      </c>
      <c r="P25" s="4">
        <v>818</v>
      </c>
      <c r="Q25" s="4">
        <v>819</v>
      </c>
      <c r="R25" s="4">
        <v>816</v>
      </c>
      <c r="S25" s="4">
        <v>817</v>
      </c>
      <c r="T25" s="4">
        <v>818</v>
      </c>
      <c r="U25" s="5">
        <v>820</v>
      </c>
      <c r="V25" s="5">
        <v>821</v>
      </c>
      <c r="W25" s="5">
        <v>822</v>
      </c>
    </row>
    <row r="26" spans="1:23" ht="20" customHeight="1">
      <c r="A26" s="8" t="s">
        <v>35</v>
      </c>
      <c r="B26" s="3">
        <v>352</v>
      </c>
      <c r="C26" s="3">
        <v>352</v>
      </c>
      <c r="D26" s="3">
        <v>352</v>
      </c>
      <c r="E26" s="3">
        <v>352</v>
      </c>
      <c r="F26" s="3">
        <v>351</v>
      </c>
      <c r="G26" s="3">
        <v>351</v>
      </c>
      <c r="H26" s="3">
        <v>351</v>
      </c>
      <c r="I26" s="3">
        <v>352</v>
      </c>
      <c r="J26" s="3">
        <v>352</v>
      </c>
      <c r="K26" s="3">
        <v>352</v>
      </c>
      <c r="L26" s="4">
        <v>360</v>
      </c>
      <c r="M26" s="4">
        <v>360</v>
      </c>
      <c r="N26" s="4">
        <v>360</v>
      </c>
      <c r="O26" s="4">
        <v>360</v>
      </c>
      <c r="P26" s="4">
        <v>360</v>
      </c>
      <c r="Q26" s="4">
        <v>360</v>
      </c>
      <c r="R26" s="4">
        <v>366</v>
      </c>
      <c r="S26" s="4">
        <v>366</v>
      </c>
      <c r="T26" s="4">
        <v>366</v>
      </c>
      <c r="U26" s="3">
        <v>364</v>
      </c>
      <c r="V26" s="3">
        <v>364</v>
      </c>
      <c r="W26" s="3">
        <v>364</v>
      </c>
    </row>
    <row r="27" spans="1:23" ht="20" customHeight="1">
      <c r="A27" s="8" t="s">
        <v>36</v>
      </c>
      <c r="B27" s="3">
        <v>630</v>
      </c>
      <c r="C27" s="3">
        <v>641</v>
      </c>
      <c r="D27" s="3">
        <v>641</v>
      </c>
      <c r="E27" s="3">
        <v>641</v>
      </c>
      <c r="F27" s="3">
        <v>644</v>
      </c>
      <c r="G27" s="3">
        <v>644</v>
      </c>
      <c r="H27" s="3">
        <v>644</v>
      </c>
      <c r="I27" s="3">
        <v>647</v>
      </c>
      <c r="J27" s="3">
        <v>647</v>
      </c>
      <c r="K27" s="3">
        <v>647</v>
      </c>
      <c r="L27" s="4">
        <v>650</v>
      </c>
      <c r="M27" s="4">
        <v>650</v>
      </c>
      <c r="N27" s="4">
        <v>650</v>
      </c>
      <c r="O27" s="4">
        <v>660</v>
      </c>
      <c r="P27" s="4">
        <v>660</v>
      </c>
      <c r="Q27" s="4">
        <v>660</v>
      </c>
      <c r="R27" s="4">
        <v>670</v>
      </c>
      <c r="S27" s="4">
        <v>670</v>
      </c>
      <c r="T27" s="4">
        <v>670</v>
      </c>
      <c r="U27" s="3">
        <v>676</v>
      </c>
      <c r="V27" s="3">
        <v>676</v>
      </c>
      <c r="W27" s="3">
        <v>676</v>
      </c>
    </row>
    <row r="28" spans="1:23" ht="20" customHeight="1">
      <c r="A28" s="8" t="s">
        <v>37</v>
      </c>
      <c r="B28" s="5">
        <v>867</v>
      </c>
      <c r="C28" s="5">
        <v>874</v>
      </c>
      <c r="D28" s="5">
        <v>874</v>
      </c>
      <c r="E28" s="5">
        <v>874</v>
      </c>
      <c r="F28" s="5">
        <v>882</v>
      </c>
      <c r="G28" s="5">
        <v>882</v>
      </c>
      <c r="H28" s="5">
        <v>882</v>
      </c>
      <c r="I28" s="5">
        <v>888</v>
      </c>
      <c r="J28" s="5">
        <v>888</v>
      </c>
      <c r="K28" s="5">
        <v>888</v>
      </c>
      <c r="L28" s="4">
        <v>892</v>
      </c>
      <c r="M28" s="4">
        <v>892</v>
      </c>
      <c r="N28" s="4">
        <v>892</v>
      </c>
      <c r="O28" s="4">
        <v>909</v>
      </c>
      <c r="P28" s="4">
        <v>909</v>
      </c>
      <c r="Q28" s="4">
        <v>909</v>
      </c>
      <c r="R28" s="4">
        <v>917</v>
      </c>
      <c r="S28" s="4">
        <v>917</v>
      </c>
      <c r="T28" s="4">
        <v>917</v>
      </c>
      <c r="U28" s="5">
        <v>931</v>
      </c>
      <c r="V28" s="5">
        <v>931</v>
      </c>
      <c r="W28" s="5">
        <v>931</v>
      </c>
    </row>
    <row r="29" spans="1:23" ht="20" customHeight="1">
      <c r="A29" s="8" t="s">
        <v>38</v>
      </c>
      <c r="B29" s="5">
        <v>539</v>
      </c>
      <c r="C29" s="5">
        <v>553</v>
      </c>
      <c r="D29" s="5">
        <v>553</v>
      </c>
      <c r="E29" s="5">
        <v>553</v>
      </c>
      <c r="F29" s="3">
        <v>554</v>
      </c>
      <c r="G29" s="3">
        <v>554</v>
      </c>
      <c r="H29" s="3">
        <v>554</v>
      </c>
      <c r="I29" s="3">
        <v>556</v>
      </c>
      <c r="J29" s="3">
        <v>556</v>
      </c>
      <c r="K29" s="3">
        <v>556</v>
      </c>
      <c r="L29" s="4">
        <v>561</v>
      </c>
      <c r="M29" s="4">
        <v>561</v>
      </c>
      <c r="N29" s="4">
        <v>561</v>
      </c>
      <c r="O29" s="4">
        <v>560</v>
      </c>
      <c r="P29" s="4">
        <v>560</v>
      </c>
      <c r="Q29" s="4">
        <v>560</v>
      </c>
      <c r="R29" s="4">
        <v>565</v>
      </c>
      <c r="S29" s="4">
        <v>565</v>
      </c>
      <c r="T29" s="4">
        <v>565</v>
      </c>
      <c r="U29" s="3">
        <v>565</v>
      </c>
      <c r="V29" s="3">
        <v>565</v>
      </c>
      <c r="W29" s="3">
        <v>565</v>
      </c>
    </row>
    <row r="30" spans="1:23" ht="20" customHeight="1">
      <c r="A30" s="8" t="s">
        <v>39</v>
      </c>
      <c r="B30" s="3">
        <v>1193</v>
      </c>
      <c r="C30" s="3">
        <v>1207</v>
      </c>
      <c r="D30" s="3">
        <v>1207</v>
      </c>
      <c r="E30" s="3">
        <v>1207</v>
      </c>
      <c r="F30" s="3">
        <v>1227</v>
      </c>
      <c r="G30" s="3">
        <v>1227</v>
      </c>
      <c r="H30" s="3">
        <v>1227</v>
      </c>
      <c r="I30" s="3">
        <v>1242</v>
      </c>
      <c r="J30" s="3">
        <v>1242</v>
      </c>
      <c r="K30" s="3">
        <v>1242</v>
      </c>
      <c r="L30" s="4">
        <v>1252</v>
      </c>
      <c r="M30" s="4">
        <v>1252</v>
      </c>
      <c r="N30" s="4">
        <v>1252</v>
      </c>
      <c r="O30" s="4">
        <v>1268</v>
      </c>
      <c r="P30" s="4">
        <v>1268</v>
      </c>
      <c r="Q30" s="4">
        <v>1268</v>
      </c>
      <c r="R30" s="4">
        <v>1278</v>
      </c>
      <c r="S30" s="4">
        <v>1278</v>
      </c>
      <c r="T30" s="4">
        <v>1278</v>
      </c>
      <c r="U30" s="3">
        <v>1296</v>
      </c>
      <c r="V30" s="3">
        <v>1296</v>
      </c>
      <c r="W30" s="3">
        <v>1296</v>
      </c>
    </row>
    <row r="31" spans="1:23" ht="20" customHeight="1">
      <c r="A31" s="8" t="s">
        <v>40</v>
      </c>
      <c r="B31" s="3">
        <v>3342</v>
      </c>
      <c r="C31" s="3">
        <v>3347</v>
      </c>
      <c r="D31" s="3">
        <v>3347</v>
      </c>
      <c r="E31" s="3">
        <v>3347</v>
      </c>
      <c r="F31" s="3">
        <v>3385</v>
      </c>
      <c r="G31" s="3">
        <v>3385</v>
      </c>
      <c r="H31" s="3">
        <v>3385</v>
      </c>
      <c r="I31" s="3">
        <v>3389</v>
      </c>
      <c r="J31" s="3">
        <v>3389</v>
      </c>
      <c r="K31" s="3">
        <v>3389</v>
      </c>
      <c r="L31" s="3">
        <v>3412</v>
      </c>
      <c r="M31" s="3">
        <v>3412</v>
      </c>
      <c r="N31" s="3">
        <v>3412</v>
      </c>
      <c r="O31" s="3">
        <v>3436</v>
      </c>
      <c r="P31" s="3">
        <v>3436</v>
      </c>
      <c r="Q31" s="3">
        <v>3436</v>
      </c>
      <c r="R31" s="3">
        <v>3496</v>
      </c>
      <c r="S31" s="3">
        <v>3496</v>
      </c>
      <c r="T31" s="3">
        <v>3496</v>
      </c>
      <c r="U31" s="3">
        <v>3530</v>
      </c>
      <c r="V31" s="3">
        <v>3530</v>
      </c>
      <c r="W31" s="3">
        <v>3530</v>
      </c>
    </row>
    <row r="32" spans="1:23" ht="20" customHeight="1">
      <c r="A32" s="8" t="s">
        <v>41</v>
      </c>
      <c r="B32" s="3">
        <v>1141</v>
      </c>
      <c r="C32" s="3">
        <v>1145</v>
      </c>
      <c r="D32" s="3">
        <v>1145</v>
      </c>
      <c r="E32" s="3">
        <v>1145</v>
      </c>
      <c r="F32" s="3">
        <v>1148</v>
      </c>
      <c r="G32" s="3">
        <v>1148</v>
      </c>
      <c r="H32" s="3">
        <v>1148</v>
      </c>
      <c r="I32" s="3">
        <v>1149</v>
      </c>
      <c r="J32" s="3">
        <v>1149</v>
      </c>
      <c r="K32" s="3">
        <v>1149</v>
      </c>
      <c r="L32" s="3">
        <v>1151</v>
      </c>
      <c r="M32" s="3">
        <v>1151</v>
      </c>
      <c r="N32" s="3">
        <v>1151</v>
      </c>
      <c r="O32" s="3">
        <v>1158</v>
      </c>
      <c r="P32" s="3">
        <v>1158</v>
      </c>
      <c r="Q32" s="3">
        <v>1158</v>
      </c>
      <c r="R32" s="3">
        <v>1169</v>
      </c>
      <c r="S32" s="3">
        <v>1169</v>
      </c>
      <c r="T32" s="3">
        <v>1169</v>
      </c>
      <c r="U32" s="3">
        <v>1174</v>
      </c>
      <c r="V32" s="3">
        <v>1174</v>
      </c>
      <c r="W32" s="3">
        <v>1174</v>
      </c>
    </row>
    <row r="33" spans="1:23" ht="20" customHeight="1">
      <c r="A33" s="8" t="s">
        <v>42</v>
      </c>
      <c r="B33" s="3">
        <v>641</v>
      </c>
      <c r="C33" s="3">
        <v>638</v>
      </c>
      <c r="D33" s="3">
        <v>638</v>
      </c>
      <c r="E33" s="3">
        <v>638</v>
      </c>
      <c r="F33" s="3">
        <v>636</v>
      </c>
      <c r="G33" s="3">
        <v>636</v>
      </c>
      <c r="H33" s="3">
        <v>636</v>
      </c>
      <c r="I33" s="3">
        <v>638</v>
      </c>
      <c r="J33" s="3">
        <v>638</v>
      </c>
      <c r="K33" s="3">
        <v>638</v>
      </c>
      <c r="L33" s="3">
        <v>643</v>
      </c>
      <c r="M33" s="3">
        <v>643</v>
      </c>
      <c r="N33" s="3">
        <v>643</v>
      </c>
      <c r="O33" s="3">
        <v>647</v>
      </c>
      <c r="P33" s="3">
        <v>647</v>
      </c>
      <c r="Q33" s="3">
        <v>647</v>
      </c>
      <c r="R33" s="3">
        <v>649</v>
      </c>
      <c r="S33" s="3">
        <v>649</v>
      </c>
      <c r="T33" s="3">
        <v>649</v>
      </c>
      <c r="U33" s="3">
        <v>645</v>
      </c>
      <c r="V33" s="3">
        <v>645</v>
      </c>
      <c r="W33" s="3">
        <v>645</v>
      </c>
    </row>
    <row r="34" spans="1:23" ht="20" customHeight="1">
      <c r="A34" s="8" t="s">
        <v>43</v>
      </c>
      <c r="B34" s="3">
        <v>1210</v>
      </c>
      <c r="C34" s="3">
        <v>1210</v>
      </c>
      <c r="D34" s="3">
        <v>1210</v>
      </c>
      <c r="E34" s="3">
        <v>1210</v>
      </c>
      <c r="F34" s="3">
        <v>1213</v>
      </c>
      <c r="G34" s="3">
        <v>1213</v>
      </c>
      <c r="H34" s="3">
        <v>1213</v>
      </c>
      <c r="I34" s="3">
        <v>1213</v>
      </c>
      <c r="J34" s="3">
        <v>1213</v>
      </c>
      <c r="K34" s="3">
        <v>1213</v>
      </c>
      <c r="L34" s="3">
        <v>1223</v>
      </c>
      <c r="M34" s="3">
        <v>1223</v>
      </c>
      <c r="N34" s="3">
        <v>1223</v>
      </c>
      <c r="O34" s="3">
        <v>1233</v>
      </c>
      <c r="P34" s="3">
        <v>1233</v>
      </c>
      <c r="Q34" s="3">
        <v>1233</v>
      </c>
      <c r="R34" s="3">
        <v>1237</v>
      </c>
      <c r="S34" s="3">
        <v>1237</v>
      </c>
      <c r="T34" s="3">
        <v>1237</v>
      </c>
      <c r="U34" s="3">
        <v>1238</v>
      </c>
      <c r="V34" s="3">
        <v>1238</v>
      </c>
      <c r="W34" s="3">
        <v>1238</v>
      </c>
    </row>
    <row r="35" spans="1:23" ht="20" customHeight="1">
      <c r="A35" s="8" t="s">
        <v>44</v>
      </c>
      <c r="B35" s="3">
        <v>951</v>
      </c>
      <c r="C35" s="3">
        <v>946</v>
      </c>
      <c r="D35" s="3">
        <v>946</v>
      </c>
      <c r="E35" s="3">
        <v>946</v>
      </c>
      <c r="F35" s="3">
        <v>943</v>
      </c>
      <c r="G35" s="3">
        <v>943</v>
      </c>
      <c r="H35" s="3">
        <v>943</v>
      </c>
      <c r="I35" s="3">
        <v>945</v>
      </c>
      <c r="J35" s="3">
        <v>945</v>
      </c>
      <c r="K35" s="3">
        <v>945</v>
      </c>
      <c r="L35" s="3">
        <v>945</v>
      </c>
      <c r="M35" s="3">
        <v>945</v>
      </c>
      <c r="N35" s="3">
        <v>945</v>
      </c>
      <c r="O35" s="3">
        <v>952</v>
      </c>
      <c r="P35" s="3">
        <v>952</v>
      </c>
      <c r="Q35" s="3">
        <v>952</v>
      </c>
      <c r="R35" s="3">
        <v>955</v>
      </c>
      <c r="S35" s="3">
        <v>955</v>
      </c>
      <c r="T35" s="3">
        <v>955</v>
      </c>
      <c r="U35" s="3">
        <v>964</v>
      </c>
      <c r="V35" s="3">
        <v>964</v>
      </c>
      <c r="W35" s="3">
        <v>964</v>
      </c>
    </row>
    <row r="36" spans="1:23" ht="20" customHeight="1">
      <c r="A36" s="8" t="s">
        <v>45</v>
      </c>
      <c r="B36" s="3">
        <v>757</v>
      </c>
      <c r="C36" s="3">
        <v>763</v>
      </c>
      <c r="D36" s="3">
        <v>763</v>
      </c>
      <c r="E36" s="3">
        <v>763</v>
      </c>
      <c r="F36" s="3">
        <v>765</v>
      </c>
      <c r="G36" s="3">
        <v>765</v>
      </c>
      <c r="H36" s="3">
        <v>765</v>
      </c>
      <c r="I36" s="3">
        <v>767</v>
      </c>
      <c r="J36" s="3">
        <v>767</v>
      </c>
      <c r="K36" s="3">
        <v>767</v>
      </c>
      <c r="L36" s="3">
        <v>772</v>
      </c>
      <c r="M36" s="3">
        <v>772</v>
      </c>
      <c r="N36" s="3">
        <v>772</v>
      </c>
      <c r="O36" s="3">
        <v>779</v>
      </c>
      <c r="P36" s="3">
        <v>779</v>
      </c>
      <c r="Q36" s="3">
        <v>779</v>
      </c>
      <c r="R36" s="3">
        <v>781</v>
      </c>
      <c r="S36" s="3">
        <v>781</v>
      </c>
      <c r="T36" s="3">
        <v>781</v>
      </c>
      <c r="U36" s="3">
        <v>784</v>
      </c>
      <c r="V36" s="3">
        <v>784</v>
      </c>
      <c r="W36" s="3">
        <v>784</v>
      </c>
    </row>
    <row r="37" spans="1:23" ht="20" customHeight="1">
      <c r="A37" s="8" t="s">
        <v>46</v>
      </c>
      <c r="B37" s="3">
        <v>798</v>
      </c>
      <c r="C37" s="3">
        <v>803</v>
      </c>
      <c r="D37" s="3">
        <v>803</v>
      </c>
      <c r="E37" s="3">
        <v>803</v>
      </c>
      <c r="F37" s="3">
        <v>798</v>
      </c>
      <c r="G37" s="3">
        <v>798</v>
      </c>
      <c r="H37" s="3">
        <v>798</v>
      </c>
      <c r="I37" s="3">
        <v>792</v>
      </c>
      <c r="J37" s="3">
        <v>792</v>
      </c>
      <c r="K37" s="3">
        <v>792</v>
      </c>
      <c r="L37" s="3">
        <v>794</v>
      </c>
      <c r="M37" s="3">
        <v>794</v>
      </c>
      <c r="N37" s="3">
        <v>794</v>
      </c>
      <c r="O37" s="3">
        <v>796</v>
      </c>
      <c r="P37" s="3">
        <v>796</v>
      </c>
      <c r="Q37" s="3">
        <v>796</v>
      </c>
      <c r="R37" s="3">
        <v>812</v>
      </c>
      <c r="S37" s="3">
        <v>812</v>
      </c>
      <c r="T37" s="3">
        <v>812</v>
      </c>
      <c r="U37" s="3">
        <v>810</v>
      </c>
      <c r="V37" s="3">
        <v>810</v>
      </c>
      <c r="W37" s="3">
        <v>810</v>
      </c>
    </row>
    <row r="38" spans="1:23" ht="20" customHeight="1">
      <c r="A38" s="8" t="s">
        <v>47</v>
      </c>
      <c r="B38" s="3">
        <v>497</v>
      </c>
      <c r="C38" s="3">
        <v>501</v>
      </c>
      <c r="D38" s="3">
        <v>501</v>
      </c>
      <c r="E38" s="3">
        <v>501</v>
      </c>
      <c r="F38" s="3">
        <v>501</v>
      </c>
      <c r="G38" s="3">
        <v>501</v>
      </c>
      <c r="H38" s="3">
        <v>501</v>
      </c>
      <c r="I38" s="3">
        <v>503</v>
      </c>
      <c r="J38" s="3">
        <v>503</v>
      </c>
      <c r="K38" s="3">
        <v>503</v>
      </c>
      <c r="L38" s="3">
        <v>506</v>
      </c>
      <c r="M38" s="3">
        <v>506</v>
      </c>
      <c r="N38" s="3">
        <v>506</v>
      </c>
      <c r="O38" s="3">
        <v>506</v>
      </c>
      <c r="P38" s="3">
        <v>506</v>
      </c>
      <c r="Q38" s="3">
        <v>506</v>
      </c>
      <c r="R38" s="3">
        <v>505</v>
      </c>
      <c r="S38" s="3">
        <v>505</v>
      </c>
      <c r="T38" s="3">
        <v>505</v>
      </c>
      <c r="U38" s="3">
        <v>507</v>
      </c>
      <c r="V38" s="3">
        <v>507</v>
      </c>
      <c r="W38" s="3">
        <v>507</v>
      </c>
    </row>
    <row r="39" spans="1:23" ht="20" customHeight="1">
      <c r="A39" s="8" t="s">
        <v>48</v>
      </c>
      <c r="B39" s="3">
        <v>989</v>
      </c>
      <c r="C39" s="3">
        <v>990</v>
      </c>
      <c r="D39" s="3">
        <v>990</v>
      </c>
      <c r="E39" s="3">
        <v>990</v>
      </c>
      <c r="F39" s="3">
        <v>994</v>
      </c>
      <c r="G39" s="3">
        <v>994</v>
      </c>
      <c r="H39" s="3">
        <v>994</v>
      </c>
      <c r="I39" s="3">
        <v>996</v>
      </c>
      <c r="J39" s="3">
        <v>996</v>
      </c>
      <c r="K39" s="3">
        <v>996</v>
      </c>
      <c r="L39" s="3">
        <v>998</v>
      </c>
      <c r="M39" s="3">
        <v>998</v>
      </c>
      <c r="N39" s="3">
        <v>998</v>
      </c>
      <c r="O39" s="3">
        <v>1003</v>
      </c>
      <c r="P39" s="3">
        <v>1003</v>
      </c>
      <c r="Q39" s="3">
        <v>1003</v>
      </c>
      <c r="R39" s="3">
        <v>1001</v>
      </c>
      <c r="S39" s="3">
        <v>1001</v>
      </c>
      <c r="T39" s="3">
        <v>1001</v>
      </c>
      <c r="U39" s="3">
        <v>1001</v>
      </c>
      <c r="V39" s="3">
        <v>1001</v>
      </c>
      <c r="W39" s="3">
        <v>1001</v>
      </c>
    </row>
    <row r="40" spans="1:23" ht="20" customHeight="1">
      <c r="A40" s="8" t="s">
        <v>49</v>
      </c>
      <c r="B40" s="3">
        <v>496</v>
      </c>
      <c r="C40" s="3">
        <v>498</v>
      </c>
      <c r="D40" s="3">
        <v>498</v>
      </c>
      <c r="E40" s="3">
        <v>498</v>
      </c>
      <c r="F40" s="3">
        <v>502</v>
      </c>
      <c r="G40" s="3">
        <v>502</v>
      </c>
      <c r="H40" s="3">
        <v>502</v>
      </c>
      <c r="I40" s="3">
        <v>504</v>
      </c>
      <c r="J40" s="3">
        <v>504</v>
      </c>
      <c r="K40" s="3">
        <v>504</v>
      </c>
      <c r="L40" s="3">
        <v>503</v>
      </c>
      <c r="M40" s="3">
        <v>503</v>
      </c>
      <c r="N40" s="3">
        <v>503</v>
      </c>
      <c r="O40" s="3">
        <v>509</v>
      </c>
      <c r="P40" s="3">
        <v>509</v>
      </c>
      <c r="Q40" s="3">
        <v>509</v>
      </c>
      <c r="R40" s="3">
        <v>509</v>
      </c>
      <c r="S40" s="3">
        <v>509</v>
      </c>
      <c r="T40" s="3">
        <v>509</v>
      </c>
      <c r="U40" s="3">
        <v>509</v>
      </c>
      <c r="V40" s="3">
        <v>509</v>
      </c>
      <c r="W40" s="3">
        <v>509</v>
      </c>
    </row>
    <row r="41" spans="1:23" ht="20" customHeight="1">
      <c r="A41" s="8" t="s">
        <v>50</v>
      </c>
      <c r="B41" s="3">
        <v>836</v>
      </c>
      <c r="C41" s="3">
        <v>840</v>
      </c>
      <c r="D41" s="3">
        <v>840</v>
      </c>
      <c r="E41" s="3">
        <v>840</v>
      </c>
      <c r="F41" s="3">
        <v>842</v>
      </c>
      <c r="G41" s="3">
        <v>842</v>
      </c>
      <c r="H41" s="3">
        <v>842</v>
      </c>
      <c r="I41" s="3">
        <v>847</v>
      </c>
      <c r="J41" s="3">
        <v>847</v>
      </c>
      <c r="K41" s="3">
        <v>847</v>
      </c>
      <c r="L41" s="3">
        <v>850</v>
      </c>
      <c r="M41" s="3">
        <v>850</v>
      </c>
      <c r="N41" s="3">
        <v>850</v>
      </c>
      <c r="O41" s="3">
        <v>861</v>
      </c>
      <c r="P41" s="3">
        <v>861</v>
      </c>
      <c r="Q41" s="3">
        <v>861</v>
      </c>
      <c r="R41" s="3">
        <v>867</v>
      </c>
      <c r="S41" s="3">
        <v>867</v>
      </c>
      <c r="T41" s="3">
        <v>867</v>
      </c>
      <c r="U41" s="3">
        <v>866</v>
      </c>
      <c r="V41" s="3">
        <v>866</v>
      </c>
      <c r="W41" s="3">
        <v>866</v>
      </c>
    </row>
    <row r="42" spans="1:23" ht="20" customHeight="1">
      <c r="A42" s="8" t="s">
        <v>51</v>
      </c>
      <c r="B42" s="3">
        <v>787</v>
      </c>
      <c r="C42" s="3">
        <v>786</v>
      </c>
      <c r="D42" s="3">
        <v>786</v>
      </c>
      <c r="E42" s="3">
        <v>786</v>
      </c>
      <c r="F42" s="3">
        <v>788</v>
      </c>
      <c r="G42" s="3">
        <v>788</v>
      </c>
      <c r="H42" s="3">
        <v>788</v>
      </c>
      <c r="I42" s="3">
        <v>786</v>
      </c>
      <c r="J42" s="3">
        <v>786</v>
      </c>
      <c r="K42" s="3">
        <v>786</v>
      </c>
      <c r="L42" s="3">
        <v>787</v>
      </c>
      <c r="M42" s="3">
        <v>787</v>
      </c>
      <c r="N42" s="3">
        <v>787</v>
      </c>
      <c r="O42" s="3">
        <v>795</v>
      </c>
      <c r="P42" s="3">
        <v>795</v>
      </c>
      <c r="Q42" s="3">
        <v>795</v>
      </c>
      <c r="R42" s="3">
        <v>791</v>
      </c>
      <c r="S42" s="3">
        <v>791</v>
      </c>
      <c r="T42" s="3">
        <v>791</v>
      </c>
      <c r="U42" s="3">
        <v>804</v>
      </c>
      <c r="V42" s="3">
        <v>804</v>
      </c>
      <c r="W42" s="3">
        <v>804</v>
      </c>
    </row>
    <row r="43" spans="1:23" ht="20" customHeight="1">
      <c r="A43" s="8" t="s">
        <v>52</v>
      </c>
      <c r="B43" s="3">
        <v>976</v>
      </c>
      <c r="C43" s="3">
        <v>974</v>
      </c>
      <c r="D43" s="3">
        <v>974</v>
      </c>
      <c r="E43" s="3">
        <v>974</v>
      </c>
      <c r="F43" s="3">
        <v>982</v>
      </c>
      <c r="G43" s="3">
        <v>982</v>
      </c>
      <c r="H43" s="3">
        <v>982</v>
      </c>
      <c r="I43" s="3">
        <v>983</v>
      </c>
      <c r="J43" s="3">
        <v>983</v>
      </c>
      <c r="K43" s="3">
        <v>983</v>
      </c>
      <c r="L43" s="3">
        <v>987</v>
      </c>
      <c r="M43" s="3">
        <v>987</v>
      </c>
      <c r="N43" s="3">
        <v>987</v>
      </c>
      <c r="O43" s="3">
        <v>981</v>
      </c>
      <c r="P43" s="3">
        <v>981</v>
      </c>
      <c r="Q43" s="3">
        <v>981</v>
      </c>
      <c r="R43" s="3">
        <v>995</v>
      </c>
      <c r="S43" s="3">
        <v>995</v>
      </c>
      <c r="T43" s="3">
        <v>995</v>
      </c>
      <c r="U43" s="3">
        <v>1004</v>
      </c>
      <c r="V43" s="3">
        <v>1004</v>
      </c>
      <c r="W43" s="3">
        <v>1004</v>
      </c>
    </row>
    <row r="44" spans="1:23" ht="20" customHeight="1">
      <c r="A44" s="8" t="s">
        <v>53</v>
      </c>
      <c r="B44" s="3">
        <v>596</v>
      </c>
      <c r="C44" s="3">
        <v>601</v>
      </c>
      <c r="D44" s="3">
        <v>601</v>
      </c>
      <c r="E44" s="3">
        <v>601</v>
      </c>
      <c r="F44" s="3">
        <v>602</v>
      </c>
      <c r="G44" s="3">
        <v>602</v>
      </c>
      <c r="H44" s="3">
        <v>602</v>
      </c>
      <c r="I44" s="3">
        <v>599</v>
      </c>
      <c r="J44" s="3">
        <v>599</v>
      </c>
      <c r="K44" s="3">
        <v>599</v>
      </c>
      <c r="L44" s="3">
        <v>605</v>
      </c>
      <c r="M44" s="3">
        <v>605</v>
      </c>
      <c r="N44" s="3">
        <v>605</v>
      </c>
      <c r="O44" s="3">
        <v>610</v>
      </c>
      <c r="P44" s="3">
        <v>610</v>
      </c>
      <c r="Q44" s="3">
        <v>610</v>
      </c>
      <c r="R44" s="3">
        <v>610</v>
      </c>
      <c r="S44" s="3">
        <v>610</v>
      </c>
      <c r="T44" s="3">
        <v>610</v>
      </c>
      <c r="U44" s="3">
        <v>610</v>
      </c>
      <c r="V44" s="3">
        <v>610</v>
      </c>
      <c r="W44" s="3">
        <v>610</v>
      </c>
    </row>
    <row r="45" spans="1:23" ht="20" customHeight="1">
      <c r="A45" s="8" t="s">
        <v>54</v>
      </c>
      <c r="B45" s="3">
        <v>1652</v>
      </c>
      <c r="C45" s="3">
        <v>1673</v>
      </c>
      <c r="D45" s="3">
        <v>1673</v>
      </c>
      <c r="E45" s="3">
        <v>1673</v>
      </c>
      <c r="F45" s="3">
        <v>1690</v>
      </c>
      <c r="G45" s="3">
        <v>1690</v>
      </c>
      <c r="H45" s="3">
        <v>1690</v>
      </c>
      <c r="I45" s="3">
        <v>1710</v>
      </c>
      <c r="J45" s="3">
        <v>1710</v>
      </c>
      <c r="K45" s="3">
        <v>1710</v>
      </c>
      <c r="L45" s="3">
        <v>1737</v>
      </c>
      <c r="M45" s="3">
        <v>1737</v>
      </c>
      <c r="N45" s="3">
        <v>1737</v>
      </c>
      <c r="O45" s="3">
        <v>1776</v>
      </c>
      <c r="P45" s="3">
        <v>1776</v>
      </c>
      <c r="Q45" s="3">
        <v>1776</v>
      </c>
      <c r="R45" s="3">
        <v>1788</v>
      </c>
      <c r="S45" s="3">
        <v>1788</v>
      </c>
      <c r="T45" s="3">
        <v>1788</v>
      </c>
      <c r="U45" s="3">
        <v>1803</v>
      </c>
      <c r="V45" s="3">
        <v>1803</v>
      </c>
      <c r="W45" s="3">
        <v>1803</v>
      </c>
    </row>
    <row r="46" spans="1:23" ht="20" customHeight="1">
      <c r="A46" s="8" t="s">
        <v>55</v>
      </c>
      <c r="B46" s="3">
        <v>620</v>
      </c>
      <c r="C46" s="3">
        <v>621</v>
      </c>
      <c r="D46" s="3">
        <v>621</v>
      </c>
      <c r="E46" s="3">
        <v>621</v>
      </c>
      <c r="F46" s="3">
        <v>620</v>
      </c>
      <c r="G46" s="3">
        <v>620</v>
      </c>
      <c r="H46" s="3">
        <v>620</v>
      </c>
      <c r="I46" s="3">
        <v>627</v>
      </c>
      <c r="J46" s="3">
        <v>627</v>
      </c>
      <c r="K46" s="3">
        <v>627</v>
      </c>
      <c r="L46" s="3">
        <v>637</v>
      </c>
      <c r="M46" s="3">
        <v>637</v>
      </c>
      <c r="N46" s="3">
        <v>637</v>
      </c>
      <c r="O46" s="3">
        <v>642</v>
      </c>
      <c r="P46" s="3">
        <v>642</v>
      </c>
      <c r="Q46" s="3">
        <v>642</v>
      </c>
      <c r="R46" s="3">
        <v>641</v>
      </c>
      <c r="S46" s="3">
        <v>641</v>
      </c>
      <c r="T46" s="3">
        <v>641</v>
      </c>
      <c r="U46" s="3">
        <v>638</v>
      </c>
      <c r="V46" s="3">
        <v>638</v>
      </c>
      <c r="W46" s="3">
        <v>638</v>
      </c>
    </row>
    <row r="47" spans="1:23" ht="20" customHeight="1">
      <c r="A47" s="8" t="s">
        <v>56</v>
      </c>
      <c r="B47" s="3">
        <v>746</v>
      </c>
      <c r="C47" s="3">
        <v>746</v>
      </c>
      <c r="D47" s="3">
        <v>746</v>
      </c>
      <c r="E47" s="3">
        <v>746</v>
      </c>
      <c r="F47" s="3">
        <v>748</v>
      </c>
      <c r="G47" s="3">
        <v>748</v>
      </c>
      <c r="H47" s="3">
        <v>748</v>
      </c>
      <c r="I47" s="3">
        <v>742</v>
      </c>
      <c r="J47" s="3">
        <v>742</v>
      </c>
      <c r="K47" s="3">
        <v>742</v>
      </c>
      <c r="L47" s="3">
        <v>753</v>
      </c>
      <c r="M47" s="3">
        <v>753</v>
      </c>
      <c r="N47" s="3">
        <v>753</v>
      </c>
      <c r="O47" s="3">
        <v>757</v>
      </c>
      <c r="P47" s="3">
        <v>757</v>
      </c>
      <c r="Q47" s="3">
        <v>757</v>
      </c>
      <c r="R47" s="3">
        <v>766</v>
      </c>
      <c r="S47" s="3">
        <v>766</v>
      </c>
      <c r="T47" s="3">
        <v>766</v>
      </c>
      <c r="U47" s="3">
        <v>765</v>
      </c>
      <c r="V47" s="3">
        <v>765</v>
      </c>
      <c r="W47" s="3">
        <v>765</v>
      </c>
    </row>
    <row r="48" spans="1:23" ht="20" customHeight="1">
      <c r="A48" s="8" t="s">
        <v>57</v>
      </c>
      <c r="B48" s="3">
        <v>1638</v>
      </c>
      <c r="C48" s="3">
        <v>1640</v>
      </c>
      <c r="D48" s="3">
        <v>1640</v>
      </c>
      <c r="E48" s="3">
        <v>1640</v>
      </c>
      <c r="F48" s="3">
        <v>1640</v>
      </c>
      <c r="G48" s="3">
        <v>1640</v>
      </c>
      <c r="H48" s="3">
        <v>1640</v>
      </c>
      <c r="I48" s="3">
        <v>1651</v>
      </c>
      <c r="J48" s="3">
        <v>1651</v>
      </c>
      <c r="K48" s="3">
        <v>1651</v>
      </c>
      <c r="L48" s="3">
        <v>1658</v>
      </c>
      <c r="M48" s="3">
        <v>1658</v>
      </c>
      <c r="N48" s="3">
        <v>1658</v>
      </c>
      <c r="O48" s="3">
        <v>1659</v>
      </c>
      <c r="P48" s="3">
        <v>1659</v>
      </c>
      <c r="Q48" s="3">
        <v>1659</v>
      </c>
      <c r="R48" s="3">
        <v>1666</v>
      </c>
      <c r="S48" s="3">
        <v>1666</v>
      </c>
      <c r="T48" s="3">
        <v>1666</v>
      </c>
      <c r="U48" s="3">
        <v>1656</v>
      </c>
      <c r="V48" s="3">
        <v>1656</v>
      </c>
      <c r="W48" s="3">
        <v>1656</v>
      </c>
    </row>
    <row r="49" spans="1:23" ht="20" customHeight="1">
      <c r="A49" s="8" t="s">
        <v>58</v>
      </c>
      <c r="B49" s="3">
        <v>859</v>
      </c>
      <c r="C49" s="3">
        <v>859</v>
      </c>
      <c r="D49" s="3">
        <v>859</v>
      </c>
      <c r="E49" s="3">
        <v>859</v>
      </c>
      <c r="F49" s="3">
        <v>861</v>
      </c>
      <c r="G49" s="3">
        <v>861</v>
      </c>
      <c r="H49" s="3">
        <v>861</v>
      </c>
      <c r="I49" s="3">
        <v>869</v>
      </c>
      <c r="J49" s="3">
        <v>869</v>
      </c>
      <c r="K49" s="3">
        <v>869</v>
      </c>
      <c r="L49" s="3">
        <v>874</v>
      </c>
      <c r="M49" s="3">
        <v>874</v>
      </c>
      <c r="N49" s="3">
        <v>874</v>
      </c>
      <c r="O49" s="3">
        <v>881</v>
      </c>
      <c r="P49" s="3">
        <v>881</v>
      </c>
      <c r="Q49" s="3">
        <v>881</v>
      </c>
      <c r="R49" s="3">
        <v>879</v>
      </c>
      <c r="S49" s="3">
        <v>879</v>
      </c>
      <c r="T49" s="3">
        <v>879</v>
      </c>
      <c r="U49" s="3">
        <v>874</v>
      </c>
      <c r="V49" s="3">
        <v>874</v>
      </c>
      <c r="W49" s="3">
        <v>874</v>
      </c>
    </row>
    <row r="50" spans="1:23" ht="20" customHeight="1">
      <c r="A50" s="8" t="s">
        <v>59</v>
      </c>
      <c r="B50" s="3">
        <v>1063</v>
      </c>
      <c r="C50" s="3">
        <v>1063</v>
      </c>
      <c r="D50" s="3">
        <v>1063</v>
      </c>
      <c r="E50" s="3">
        <v>1063</v>
      </c>
      <c r="F50" s="3">
        <v>1070</v>
      </c>
      <c r="G50" s="3">
        <v>1070</v>
      </c>
      <c r="H50" s="3">
        <v>1070</v>
      </c>
      <c r="I50" s="3">
        <v>1069</v>
      </c>
      <c r="J50" s="3">
        <v>1069</v>
      </c>
      <c r="K50" s="3">
        <v>1069</v>
      </c>
      <c r="L50" s="3">
        <v>1074</v>
      </c>
      <c r="M50" s="3">
        <v>1074</v>
      </c>
      <c r="N50" s="3">
        <v>1074</v>
      </c>
      <c r="O50" s="3">
        <v>1084</v>
      </c>
      <c r="P50" s="3">
        <v>1084</v>
      </c>
      <c r="Q50" s="3">
        <v>1084</v>
      </c>
      <c r="R50" s="3">
        <v>1094</v>
      </c>
      <c r="S50" s="3">
        <v>1094</v>
      </c>
      <c r="T50" s="3">
        <v>1094</v>
      </c>
      <c r="U50" s="3">
        <v>1113</v>
      </c>
      <c r="V50" s="3">
        <v>1113</v>
      </c>
      <c r="W50" s="3">
        <v>1113</v>
      </c>
    </row>
    <row r="51" spans="1:23" ht="20" customHeight="1">
      <c r="A51" s="8" t="s">
        <v>60</v>
      </c>
      <c r="B51" s="3">
        <v>451</v>
      </c>
      <c r="C51" s="3">
        <v>449</v>
      </c>
      <c r="D51" s="3">
        <v>449</v>
      </c>
      <c r="E51" s="3">
        <v>449</v>
      </c>
      <c r="F51" s="3">
        <v>447</v>
      </c>
      <c r="G51" s="3">
        <v>447</v>
      </c>
      <c r="H51" s="3">
        <v>447</v>
      </c>
      <c r="I51" s="3">
        <v>452</v>
      </c>
      <c r="J51" s="3">
        <v>452</v>
      </c>
      <c r="K51" s="3">
        <v>452</v>
      </c>
      <c r="L51" s="3">
        <v>449</v>
      </c>
      <c r="M51" s="3">
        <v>449</v>
      </c>
      <c r="N51" s="3">
        <v>449</v>
      </c>
      <c r="O51" s="3">
        <v>444</v>
      </c>
      <c r="P51" s="3">
        <v>444</v>
      </c>
      <c r="Q51" s="3">
        <v>444</v>
      </c>
      <c r="R51" s="3">
        <v>440</v>
      </c>
      <c r="S51" s="3">
        <v>440</v>
      </c>
      <c r="T51" s="3">
        <v>440</v>
      </c>
      <c r="U51" s="3">
        <v>440</v>
      </c>
      <c r="V51" s="3">
        <v>440</v>
      </c>
      <c r="W51" s="3">
        <v>440</v>
      </c>
    </row>
    <row r="52" spans="1:23" ht="20" customHeight="1">
      <c r="A52" s="8" t="s">
        <v>61</v>
      </c>
      <c r="B52" s="3">
        <v>931</v>
      </c>
      <c r="C52" s="3">
        <v>935</v>
      </c>
      <c r="D52" s="3">
        <v>935</v>
      </c>
      <c r="E52" s="3">
        <v>935</v>
      </c>
      <c r="F52" s="3">
        <v>935</v>
      </c>
      <c r="G52" s="3">
        <v>935</v>
      </c>
      <c r="H52" s="3">
        <v>935</v>
      </c>
      <c r="I52" s="3">
        <v>940</v>
      </c>
      <c r="J52" s="3">
        <v>940</v>
      </c>
      <c r="K52" s="3">
        <v>940</v>
      </c>
      <c r="L52" s="3">
        <v>943</v>
      </c>
      <c r="M52" s="3">
        <v>943</v>
      </c>
      <c r="N52" s="3">
        <v>943</v>
      </c>
      <c r="O52" s="3">
        <v>947</v>
      </c>
      <c r="P52" s="3">
        <v>947</v>
      </c>
      <c r="Q52" s="3">
        <v>947</v>
      </c>
      <c r="R52" s="3">
        <v>946</v>
      </c>
      <c r="S52" s="3">
        <v>946</v>
      </c>
      <c r="T52" s="3">
        <v>946</v>
      </c>
      <c r="U52" s="3">
        <v>947</v>
      </c>
      <c r="V52" s="3">
        <v>947</v>
      </c>
      <c r="W52" s="3">
        <v>947</v>
      </c>
    </row>
    <row r="53" spans="1:23" ht="20" customHeight="1">
      <c r="A53" s="8" t="s">
        <v>62</v>
      </c>
      <c r="B53" s="3">
        <v>676</v>
      </c>
      <c r="C53" s="3">
        <v>678</v>
      </c>
      <c r="D53" s="3">
        <v>678</v>
      </c>
      <c r="E53" s="3">
        <v>678</v>
      </c>
      <c r="F53" s="3">
        <v>675</v>
      </c>
      <c r="G53" s="3">
        <v>675</v>
      </c>
      <c r="H53" s="3">
        <v>675</v>
      </c>
      <c r="I53" s="3">
        <v>677</v>
      </c>
      <c r="J53" s="3">
        <v>677</v>
      </c>
      <c r="K53" s="3">
        <v>677</v>
      </c>
      <c r="L53" s="3">
        <v>672</v>
      </c>
      <c r="M53" s="3">
        <v>672</v>
      </c>
      <c r="N53" s="3">
        <v>672</v>
      </c>
      <c r="O53" s="3">
        <v>676</v>
      </c>
      <c r="P53" s="3">
        <v>676</v>
      </c>
      <c r="Q53" s="3">
        <v>676</v>
      </c>
      <c r="R53" s="3">
        <v>678</v>
      </c>
      <c r="S53" s="3">
        <v>678</v>
      </c>
      <c r="T53" s="3">
        <v>678</v>
      </c>
      <c r="U53" s="3">
        <v>676</v>
      </c>
      <c r="V53" s="3">
        <v>676</v>
      </c>
      <c r="W53" s="3">
        <v>676</v>
      </c>
    </row>
    <row r="54" spans="1:23" ht="20" customHeight="1">
      <c r="A54" s="8" t="s">
        <v>63</v>
      </c>
      <c r="B54" s="3">
        <v>750</v>
      </c>
      <c r="C54" s="3">
        <v>761</v>
      </c>
      <c r="D54" s="3">
        <v>761</v>
      </c>
      <c r="E54" s="3">
        <v>761</v>
      </c>
      <c r="F54" s="3">
        <v>771</v>
      </c>
      <c r="G54" s="3">
        <v>771</v>
      </c>
      <c r="H54" s="3">
        <v>771</v>
      </c>
      <c r="I54" s="3">
        <v>773</v>
      </c>
      <c r="J54" s="3">
        <v>773</v>
      </c>
      <c r="K54" s="3">
        <v>773</v>
      </c>
      <c r="L54" s="3">
        <v>776</v>
      </c>
      <c r="M54" s="3">
        <v>776</v>
      </c>
      <c r="N54" s="3">
        <v>776</v>
      </c>
      <c r="O54" s="3">
        <v>770</v>
      </c>
      <c r="P54" s="3">
        <v>770</v>
      </c>
      <c r="Q54" s="3">
        <v>770</v>
      </c>
      <c r="R54" s="3">
        <v>767</v>
      </c>
      <c r="S54" s="3">
        <v>767</v>
      </c>
      <c r="T54" s="3">
        <v>767</v>
      </c>
      <c r="U54" s="3">
        <v>771</v>
      </c>
      <c r="V54" s="3">
        <v>771</v>
      </c>
      <c r="W54" s="3">
        <v>771</v>
      </c>
    </row>
    <row r="55" spans="1:23" ht="20" customHeight="1">
      <c r="A55" s="8" t="s">
        <v>64</v>
      </c>
      <c r="B55" s="3">
        <v>742</v>
      </c>
      <c r="C55" s="3">
        <v>744</v>
      </c>
      <c r="D55" s="3">
        <v>744</v>
      </c>
      <c r="E55" s="3">
        <v>744</v>
      </c>
      <c r="F55" s="3">
        <v>744</v>
      </c>
      <c r="G55" s="3">
        <v>744</v>
      </c>
      <c r="H55" s="3">
        <v>744</v>
      </c>
      <c r="I55" s="3">
        <v>743</v>
      </c>
      <c r="J55" s="3">
        <v>743</v>
      </c>
      <c r="K55" s="3">
        <v>743</v>
      </c>
      <c r="L55" s="3">
        <v>754</v>
      </c>
      <c r="M55" s="3">
        <v>754</v>
      </c>
      <c r="N55" s="3">
        <v>754</v>
      </c>
      <c r="O55" s="3">
        <v>756</v>
      </c>
      <c r="P55" s="3">
        <v>756</v>
      </c>
      <c r="Q55" s="3">
        <v>756</v>
      </c>
      <c r="R55" s="3">
        <v>754</v>
      </c>
      <c r="S55" s="3">
        <v>754</v>
      </c>
      <c r="T55" s="3">
        <v>754</v>
      </c>
      <c r="U55" s="3">
        <v>758</v>
      </c>
      <c r="V55" s="3">
        <v>758</v>
      </c>
      <c r="W55" s="3">
        <v>758</v>
      </c>
    </row>
    <row r="56" spans="1:23" ht="20" customHeight="1">
      <c r="A56" s="8" t="s">
        <v>65</v>
      </c>
      <c r="B56" s="3">
        <v>499</v>
      </c>
      <c r="C56" s="3">
        <v>504</v>
      </c>
      <c r="D56" s="3">
        <v>504</v>
      </c>
      <c r="E56" s="3">
        <v>504</v>
      </c>
      <c r="F56" s="3">
        <v>499</v>
      </c>
      <c r="G56" s="3">
        <v>499</v>
      </c>
      <c r="H56" s="3">
        <v>499</v>
      </c>
      <c r="I56" s="3">
        <v>501</v>
      </c>
      <c r="J56" s="3">
        <v>501</v>
      </c>
      <c r="K56" s="3">
        <v>501</v>
      </c>
      <c r="L56" s="3">
        <v>501</v>
      </c>
      <c r="M56" s="3">
        <v>501</v>
      </c>
      <c r="N56" s="3">
        <v>501</v>
      </c>
      <c r="O56" s="3">
        <v>505</v>
      </c>
      <c r="P56" s="3">
        <v>505</v>
      </c>
      <c r="Q56" s="3">
        <v>505</v>
      </c>
      <c r="R56" s="3">
        <v>504</v>
      </c>
      <c r="S56" s="3">
        <v>504</v>
      </c>
      <c r="T56" s="3">
        <v>504</v>
      </c>
      <c r="U56" s="3">
        <v>503</v>
      </c>
      <c r="V56" s="3">
        <v>503</v>
      </c>
      <c r="W56" s="3">
        <v>503</v>
      </c>
    </row>
    <row r="57" spans="1:23" ht="20" customHeight="1">
      <c r="A57" s="8" t="s">
        <v>66</v>
      </c>
      <c r="B57" s="3">
        <v>990</v>
      </c>
      <c r="C57" s="3">
        <v>993</v>
      </c>
      <c r="D57" s="3">
        <v>993</v>
      </c>
      <c r="E57" s="3">
        <v>993</v>
      </c>
      <c r="F57" s="3">
        <v>996</v>
      </c>
      <c r="G57" s="3">
        <v>996</v>
      </c>
      <c r="H57" s="3">
        <v>996</v>
      </c>
      <c r="I57" s="3">
        <v>990</v>
      </c>
      <c r="J57" s="3">
        <v>990</v>
      </c>
      <c r="K57" s="3">
        <v>990</v>
      </c>
      <c r="L57" s="3">
        <v>986</v>
      </c>
      <c r="M57" s="3">
        <v>986</v>
      </c>
      <c r="N57" s="3">
        <v>986</v>
      </c>
      <c r="O57" s="3">
        <v>985</v>
      </c>
      <c r="P57" s="3">
        <v>985</v>
      </c>
      <c r="Q57" s="3">
        <v>985</v>
      </c>
      <c r="R57" s="3">
        <v>989</v>
      </c>
      <c r="S57" s="3">
        <v>989</v>
      </c>
      <c r="T57" s="3">
        <v>989</v>
      </c>
      <c r="U57" s="3">
        <v>995</v>
      </c>
      <c r="V57" s="3">
        <v>995</v>
      </c>
      <c r="W57" s="3">
        <v>995</v>
      </c>
    </row>
    <row r="58" spans="1:23" ht="20" customHeight="1">
      <c r="A58" s="8" t="s">
        <v>67</v>
      </c>
      <c r="B58" s="3">
        <v>671</v>
      </c>
      <c r="C58" s="3">
        <v>674</v>
      </c>
      <c r="D58" s="3">
        <v>674</v>
      </c>
      <c r="E58" s="3">
        <v>674</v>
      </c>
      <c r="F58" s="3">
        <v>679</v>
      </c>
      <c r="G58" s="3">
        <v>679</v>
      </c>
      <c r="H58" s="3">
        <v>679</v>
      </c>
      <c r="I58" s="3">
        <v>686</v>
      </c>
      <c r="J58" s="3">
        <v>686</v>
      </c>
      <c r="K58" s="3">
        <v>686</v>
      </c>
      <c r="L58" s="3">
        <v>687</v>
      </c>
      <c r="M58" s="3">
        <v>687</v>
      </c>
      <c r="N58" s="3">
        <v>687</v>
      </c>
      <c r="O58" s="3">
        <v>701</v>
      </c>
      <c r="P58" s="3">
        <v>701</v>
      </c>
      <c r="Q58" s="3">
        <v>701</v>
      </c>
      <c r="R58" s="3">
        <v>703</v>
      </c>
      <c r="S58" s="3">
        <v>703</v>
      </c>
      <c r="T58" s="3">
        <v>703</v>
      </c>
      <c r="U58" s="3">
        <v>707</v>
      </c>
      <c r="V58" s="3">
        <v>707</v>
      </c>
      <c r="W58" s="3">
        <v>707</v>
      </c>
    </row>
    <row r="59" spans="1:23" ht="20" customHeight="1">
      <c r="A59" s="8" t="s">
        <v>68</v>
      </c>
      <c r="B59" s="3">
        <v>904</v>
      </c>
      <c r="C59" s="3">
        <v>901</v>
      </c>
      <c r="D59" s="3">
        <v>901</v>
      </c>
      <c r="E59" s="3">
        <v>901</v>
      </c>
      <c r="F59" s="3">
        <v>902</v>
      </c>
      <c r="G59" s="3">
        <v>902</v>
      </c>
      <c r="H59" s="3">
        <v>902</v>
      </c>
      <c r="I59" s="3">
        <v>909</v>
      </c>
      <c r="J59" s="3">
        <v>909</v>
      </c>
      <c r="K59" s="3">
        <v>909</v>
      </c>
      <c r="L59" s="3">
        <v>917</v>
      </c>
      <c r="M59" s="3">
        <v>917</v>
      </c>
      <c r="N59" s="3">
        <v>917</v>
      </c>
      <c r="O59" s="3">
        <v>926</v>
      </c>
      <c r="P59" s="3">
        <v>926</v>
      </c>
      <c r="Q59" s="3">
        <v>926</v>
      </c>
      <c r="R59" s="3">
        <v>934</v>
      </c>
      <c r="S59" s="3">
        <v>934</v>
      </c>
      <c r="T59" s="3">
        <v>934</v>
      </c>
      <c r="U59" s="3">
        <v>935</v>
      </c>
      <c r="V59" s="3">
        <v>935</v>
      </c>
      <c r="W59" s="3">
        <v>935</v>
      </c>
    </row>
    <row r="60" spans="1:23" ht="20" customHeight="1">
      <c r="A60" s="8" t="s">
        <v>69</v>
      </c>
      <c r="B60" s="3">
        <v>769</v>
      </c>
      <c r="C60" s="3">
        <v>788</v>
      </c>
      <c r="D60" s="3">
        <v>788</v>
      </c>
      <c r="E60" s="3">
        <v>788</v>
      </c>
      <c r="F60" s="3">
        <v>806</v>
      </c>
      <c r="G60" s="3">
        <v>806</v>
      </c>
      <c r="H60" s="3">
        <v>806</v>
      </c>
      <c r="I60" s="3">
        <v>813</v>
      </c>
      <c r="J60" s="3">
        <v>813</v>
      </c>
      <c r="K60" s="3">
        <v>813</v>
      </c>
      <c r="L60" s="3">
        <v>824</v>
      </c>
      <c r="M60" s="3">
        <v>824</v>
      </c>
      <c r="N60" s="3">
        <v>824</v>
      </c>
      <c r="O60" s="3">
        <v>838</v>
      </c>
      <c r="P60" s="3">
        <v>838</v>
      </c>
      <c r="Q60" s="3">
        <v>838</v>
      </c>
      <c r="R60" s="3">
        <v>843</v>
      </c>
      <c r="S60" s="3">
        <v>843</v>
      </c>
      <c r="T60" s="3">
        <v>843</v>
      </c>
      <c r="U60" s="3">
        <v>847</v>
      </c>
      <c r="V60" s="3">
        <v>847</v>
      </c>
      <c r="W60" s="3">
        <v>847</v>
      </c>
    </row>
    <row r="61" spans="1:23" ht="20" customHeight="1">
      <c r="A61" s="8" t="s">
        <v>70</v>
      </c>
      <c r="B61" s="3">
        <v>582</v>
      </c>
      <c r="C61" s="3">
        <v>588</v>
      </c>
      <c r="D61" s="3">
        <v>588</v>
      </c>
      <c r="E61" s="3">
        <v>588</v>
      </c>
      <c r="F61" s="3">
        <v>596</v>
      </c>
      <c r="G61" s="3">
        <v>596</v>
      </c>
      <c r="H61" s="3">
        <v>596</v>
      </c>
      <c r="I61" s="3">
        <v>598</v>
      </c>
      <c r="J61" s="3">
        <v>598</v>
      </c>
      <c r="K61" s="3">
        <v>598</v>
      </c>
      <c r="L61" s="3">
        <v>601</v>
      </c>
      <c r="M61" s="3">
        <v>601</v>
      </c>
      <c r="N61" s="3">
        <v>601</v>
      </c>
      <c r="O61" s="3">
        <v>611</v>
      </c>
      <c r="P61" s="3">
        <v>611</v>
      </c>
      <c r="Q61" s="3">
        <v>611</v>
      </c>
      <c r="R61" s="3">
        <v>626</v>
      </c>
      <c r="S61" s="3">
        <v>626</v>
      </c>
      <c r="T61" s="3">
        <v>626</v>
      </c>
      <c r="U61" s="3">
        <v>633</v>
      </c>
      <c r="V61" s="3">
        <v>633</v>
      </c>
      <c r="W61" s="3">
        <v>633</v>
      </c>
    </row>
    <row r="62" spans="1:23" ht="20" customHeight="1">
      <c r="A62" s="8" t="s">
        <v>71</v>
      </c>
      <c r="B62" s="3">
        <v>201</v>
      </c>
      <c r="C62" s="3">
        <v>204</v>
      </c>
      <c r="D62" s="3">
        <v>204</v>
      </c>
      <c r="E62" s="3">
        <v>204</v>
      </c>
      <c r="F62" s="3">
        <v>202</v>
      </c>
      <c r="G62" s="3">
        <v>202</v>
      </c>
      <c r="H62" s="3">
        <v>202</v>
      </c>
      <c r="I62" s="3">
        <v>205</v>
      </c>
      <c r="J62" s="3">
        <v>205</v>
      </c>
      <c r="K62" s="3">
        <v>205</v>
      </c>
      <c r="L62" s="3">
        <v>209</v>
      </c>
      <c r="M62" s="3">
        <v>209</v>
      </c>
      <c r="N62" s="3">
        <v>209</v>
      </c>
      <c r="O62" s="3">
        <v>209</v>
      </c>
      <c r="P62" s="3">
        <v>209</v>
      </c>
      <c r="Q62" s="3">
        <v>209</v>
      </c>
      <c r="R62" s="3">
        <v>208</v>
      </c>
      <c r="S62" s="3">
        <v>208</v>
      </c>
      <c r="T62" s="3">
        <v>208</v>
      </c>
      <c r="U62" s="3">
        <v>211</v>
      </c>
      <c r="V62" s="3">
        <v>211</v>
      </c>
      <c r="W62" s="3">
        <v>211</v>
      </c>
    </row>
  </sheetData>
  <autoFilter ref="B1:W62" xr:uid="{00000000-0001-0000-0000-000000000000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9D98F-7467-0A4A-87E3-07EC42C6AED4}">
  <dimension ref="A1:W62"/>
  <sheetViews>
    <sheetView zoomScale="70" zoomScaleNormal="70" workbookViewId="0">
      <selection sqref="A1:XFD1"/>
    </sheetView>
  </sheetViews>
  <sheetFormatPr baseColWidth="10" defaultColWidth="20.83203125" defaultRowHeight="17"/>
  <cols>
    <col min="1" max="1" width="22.33203125" style="10" customWidth="1"/>
    <col min="12" max="22" width="20.83203125" style="2"/>
  </cols>
  <sheetData>
    <row r="1" spans="1:23" s="13" customFormat="1" ht="20" customHeight="1">
      <c r="A1" s="11" t="s">
        <v>1</v>
      </c>
      <c r="B1" s="12" t="s">
        <v>2</v>
      </c>
      <c r="C1" s="12" t="s">
        <v>3</v>
      </c>
      <c r="D1" s="12" t="s">
        <v>4</v>
      </c>
      <c r="E1" s="12" t="s">
        <v>5</v>
      </c>
      <c r="F1" s="12" t="s">
        <v>6</v>
      </c>
      <c r="G1" s="12" t="s">
        <v>7</v>
      </c>
      <c r="H1" s="12" t="s">
        <v>8</v>
      </c>
      <c r="I1" s="12" t="s">
        <v>9</v>
      </c>
      <c r="J1" s="12" t="s">
        <v>10</v>
      </c>
      <c r="K1" s="12" t="s">
        <v>11</v>
      </c>
      <c r="L1" s="12" t="s">
        <v>73</v>
      </c>
      <c r="M1" s="12" t="s">
        <v>74</v>
      </c>
      <c r="N1" s="12" t="s">
        <v>75</v>
      </c>
      <c r="O1" s="12" t="s">
        <v>76</v>
      </c>
      <c r="P1" s="12" t="s">
        <v>77</v>
      </c>
      <c r="Q1" s="12" t="s">
        <v>78</v>
      </c>
      <c r="R1" s="12" t="s">
        <v>79</v>
      </c>
      <c r="S1" s="12" t="s">
        <v>80</v>
      </c>
      <c r="T1" s="12" t="s">
        <v>81</v>
      </c>
      <c r="U1" s="12" t="s">
        <v>82</v>
      </c>
      <c r="V1" s="12" t="s">
        <v>83</v>
      </c>
      <c r="W1" s="12" t="s">
        <v>72</v>
      </c>
    </row>
    <row r="2" spans="1:23" ht="20" customHeight="1">
      <c r="A2" s="8" t="s">
        <v>12</v>
      </c>
      <c r="B2" s="1">
        <v>67</v>
      </c>
      <c r="C2" s="1">
        <v>73</v>
      </c>
      <c r="D2" s="1">
        <v>64</v>
      </c>
      <c r="E2" s="1">
        <v>74</v>
      </c>
      <c r="F2" s="1">
        <v>60</v>
      </c>
      <c r="G2" s="1">
        <v>75</v>
      </c>
      <c r="H2" s="1">
        <v>68</v>
      </c>
      <c r="I2" s="1">
        <v>69</v>
      </c>
      <c r="J2" s="1">
        <v>77</v>
      </c>
      <c r="K2" s="1">
        <v>56</v>
      </c>
      <c r="L2" s="6">
        <v>71</v>
      </c>
      <c r="M2" s="6">
        <v>58</v>
      </c>
      <c r="N2" s="6">
        <v>62</v>
      </c>
      <c r="O2" s="6">
        <v>73</v>
      </c>
      <c r="P2" s="6">
        <v>82</v>
      </c>
      <c r="Q2" s="6">
        <v>79</v>
      </c>
      <c r="R2" s="6">
        <v>84</v>
      </c>
      <c r="S2" s="6">
        <v>73</v>
      </c>
      <c r="T2" s="6">
        <v>61</v>
      </c>
      <c r="U2" s="6">
        <v>74</v>
      </c>
      <c r="V2" s="6">
        <v>55</v>
      </c>
      <c r="W2" s="7"/>
    </row>
    <row r="3" spans="1:23" ht="20" customHeight="1">
      <c r="A3" s="8" t="s">
        <v>13</v>
      </c>
      <c r="B3" s="1">
        <v>759</v>
      </c>
      <c r="C3" s="1">
        <v>779</v>
      </c>
      <c r="D3" s="1">
        <v>909</v>
      </c>
      <c r="E3" s="1">
        <v>932</v>
      </c>
      <c r="F3" s="1">
        <v>871</v>
      </c>
      <c r="G3" s="1">
        <v>965</v>
      </c>
      <c r="H3" s="1">
        <v>956</v>
      </c>
      <c r="I3" s="1">
        <v>829</v>
      </c>
      <c r="J3" s="1">
        <v>682</v>
      </c>
      <c r="K3" s="1">
        <v>604</v>
      </c>
      <c r="L3" s="6">
        <v>728</v>
      </c>
      <c r="M3" s="6">
        <v>823</v>
      </c>
      <c r="N3" s="6">
        <v>820</v>
      </c>
      <c r="O3" s="6">
        <v>981</v>
      </c>
      <c r="P3" s="6">
        <v>946</v>
      </c>
      <c r="Q3" s="6">
        <v>1005</v>
      </c>
      <c r="R3" s="6">
        <v>1389</v>
      </c>
      <c r="S3" s="6">
        <v>1119</v>
      </c>
      <c r="T3" s="6">
        <v>962</v>
      </c>
      <c r="U3" s="6">
        <v>825</v>
      </c>
      <c r="V3" s="6">
        <v>804</v>
      </c>
      <c r="W3" s="7"/>
    </row>
    <row r="4" spans="1:23" ht="20" customHeight="1">
      <c r="A4" s="8" t="s">
        <v>14</v>
      </c>
      <c r="B4" s="1">
        <v>56</v>
      </c>
      <c r="C4" s="1">
        <v>55</v>
      </c>
      <c r="D4" s="1">
        <v>60</v>
      </c>
      <c r="E4" s="1">
        <v>98</v>
      </c>
      <c r="F4" s="1">
        <v>70</v>
      </c>
      <c r="G4" s="1">
        <v>79</v>
      </c>
      <c r="H4" s="1">
        <v>84</v>
      </c>
      <c r="I4" s="1">
        <v>53</v>
      </c>
      <c r="J4" s="1">
        <v>27</v>
      </c>
      <c r="K4" s="1">
        <v>34</v>
      </c>
      <c r="L4" s="6">
        <v>47</v>
      </c>
      <c r="M4" s="6">
        <v>47</v>
      </c>
      <c r="N4" s="6">
        <v>52</v>
      </c>
      <c r="O4" s="6">
        <v>96</v>
      </c>
      <c r="P4" s="6">
        <v>101</v>
      </c>
      <c r="Q4" s="6">
        <v>148</v>
      </c>
      <c r="R4" s="6">
        <v>202</v>
      </c>
      <c r="S4" s="6">
        <v>97</v>
      </c>
      <c r="T4" s="6">
        <v>79</v>
      </c>
      <c r="U4" s="6">
        <v>83</v>
      </c>
      <c r="V4" s="6">
        <v>68</v>
      </c>
      <c r="W4" s="7"/>
    </row>
    <row r="5" spans="1:23" ht="20" customHeight="1">
      <c r="A5" s="8" t="s">
        <v>15</v>
      </c>
      <c r="B5" s="1">
        <v>225</v>
      </c>
      <c r="C5" s="1">
        <v>180</v>
      </c>
      <c r="D5" s="1">
        <v>351</v>
      </c>
      <c r="E5" s="1">
        <v>263</v>
      </c>
      <c r="F5" s="1">
        <v>249</v>
      </c>
      <c r="G5" s="1">
        <v>260</v>
      </c>
      <c r="H5" s="1">
        <v>274</v>
      </c>
      <c r="I5" s="1">
        <v>176</v>
      </c>
      <c r="J5" s="1">
        <v>172</v>
      </c>
      <c r="K5" s="1">
        <v>125</v>
      </c>
      <c r="L5" s="6">
        <v>199</v>
      </c>
      <c r="M5" s="6">
        <v>178</v>
      </c>
      <c r="N5" s="6">
        <v>355</v>
      </c>
      <c r="O5" s="6">
        <v>266</v>
      </c>
      <c r="P5" s="6">
        <v>312</v>
      </c>
      <c r="Q5" s="6">
        <v>359</v>
      </c>
      <c r="R5" s="6">
        <v>543</v>
      </c>
      <c r="S5" s="6">
        <v>389</v>
      </c>
      <c r="T5" s="6">
        <v>302</v>
      </c>
      <c r="U5" s="6">
        <v>248</v>
      </c>
      <c r="V5" s="6">
        <v>203</v>
      </c>
      <c r="W5" s="7"/>
    </row>
    <row r="6" spans="1:23" ht="20" customHeight="1">
      <c r="A6" s="8" t="s">
        <v>0</v>
      </c>
      <c r="B6" s="1">
        <v>355</v>
      </c>
      <c r="C6" s="1">
        <v>305</v>
      </c>
      <c r="D6" s="1">
        <v>374</v>
      </c>
      <c r="E6" s="1">
        <v>382</v>
      </c>
      <c r="F6" s="1">
        <v>355</v>
      </c>
      <c r="G6" s="1">
        <v>338</v>
      </c>
      <c r="H6" s="1">
        <v>332</v>
      </c>
      <c r="I6" s="1">
        <v>335</v>
      </c>
      <c r="J6" s="1">
        <v>304</v>
      </c>
      <c r="K6" s="1">
        <v>259</v>
      </c>
      <c r="L6" s="6">
        <v>291</v>
      </c>
      <c r="M6" s="6">
        <v>297</v>
      </c>
      <c r="N6" s="6">
        <v>381</v>
      </c>
      <c r="O6" s="6">
        <v>436</v>
      </c>
      <c r="P6" s="6">
        <v>416</v>
      </c>
      <c r="Q6" s="6">
        <v>381</v>
      </c>
      <c r="R6" s="6">
        <v>494</v>
      </c>
      <c r="S6" s="6">
        <v>430</v>
      </c>
      <c r="T6" s="6">
        <v>360</v>
      </c>
      <c r="U6" s="6">
        <v>413</v>
      </c>
      <c r="V6" s="6">
        <v>316</v>
      </c>
      <c r="W6" s="7"/>
    </row>
    <row r="7" spans="1:23" ht="20" customHeight="1">
      <c r="A7" s="8" t="s">
        <v>16</v>
      </c>
      <c r="B7" s="1">
        <v>104</v>
      </c>
      <c r="C7" s="1">
        <v>89</v>
      </c>
      <c r="D7" s="1">
        <v>116</v>
      </c>
      <c r="E7" s="1">
        <v>119</v>
      </c>
      <c r="F7" s="1">
        <v>89</v>
      </c>
      <c r="G7" s="1">
        <v>98</v>
      </c>
      <c r="H7" s="1">
        <v>109</v>
      </c>
      <c r="I7" s="1">
        <v>84</v>
      </c>
      <c r="J7" s="1">
        <v>78</v>
      </c>
      <c r="K7" s="1">
        <v>84</v>
      </c>
      <c r="L7" s="6">
        <v>78</v>
      </c>
      <c r="M7" s="6">
        <v>107</v>
      </c>
      <c r="N7" s="6">
        <v>145</v>
      </c>
      <c r="O7" s="6">
        <v>151</v>
      </c>
      <c r="P7" s="6">
        <v>155</v>
      </c>
      <c r="Q7" s="6">
        <v>176</v>
      </c>
      <c r="R7" s="6">
        <v>232</v>
      </c>
      <c r="S7" s="6">
        <v>216</v>
      </c>
      <c r="T7" s="6">
        <v>201</v>
      </c>
      <c r="U7" s="6">
        <v>193</v>
      </c>
      <c r="V7" s="6">
        <v>258</v>
      </c>
      <c r="W7" s="7"/>
    </row>
    <row r="8" spans="1:23" ht="20" customHeight="1">
      <c r="A8" s="8" t="s">
        <v>17</v>
      </c>
      <c r="B8" s="1">
        <v>170</v>
      </c>
      <c r="C8" s="1">
        <v>200</v>
      </c>
      <c r="D8" s="1">
        <v>208</v>
      </c>
      <c r="E8" s="1">
        <v>258</v>
      </c>
      <c r="F8" s="1">
        <v>220</v>
      </c>
      <c r="G8" s="1">
        <v>250</v>
      </c>
      <c r="H8" s="1">
        <v>244</v>
      </c>
      <c r="I8" s="1">
        <v>216</v>
      </c>
      <c r="J8" s="1">
        <v>207</v>
      </c>
      <c r="K8" s="1">
        <v>163</v>
      </c>
      <c r="L8" s="6">
        <v>192</v>
      </c>
      <c r="M8" s="6">
        <v>210</v>
      </c>
      <c r="N8" s="6">
        <v>230</v>
      </c>
      <c r="O8" s="6">
        <v>261</v>
      </c>
      <c r="P8" s="6">
        <v>305</v>
      </c>
      <c r="Q8" s="6">
        <v>306</v>
      </c>
      <c r="R8" s="6">
        <v>398</v>
      </c>
      <c r="S8" s="6">
        <v>335</v>
      </c>
      <c r="T8" s="6">
        <v>242</v>
      </c>
      <c r="U8" s="6">
        <v>216</v>
      </c>
      <c r="V8" s="6">
        <v>166</v>
      </c>
      <c r="W8" s="7"/>
    </row>
    <row r="9" spans="1:23" ht="20" customHeight="1">
      <c r="A9" s="8" t="s">
        <v>18</v>
      </c>
      <c r="B9" s="1">
        <v>487</v>
      </c>
      <c r="C9" s="1">
        <v>526</v>
      </c>
      <c r="D9" s="1">
        <v>546</v>
      </c>
      <c r="E9" s="1">
        <v>527</v>
      </c>
      <c r="F9" s="1">
        <v>465</v>
      </c>
      <c r="G9" s="1">
        <v>507</v>
      </c>
      <c r="H9" s="1">
        <v>477</v>
      </c>
      <c r="I9" s="1">
        <v>455</v>
      </c>
      <c r="J9" s="1">
        <v>518</v>
      </c>
      <c r="K9" s="1">
        <v>413</v>
      </c>
      <c r="L9" s="6">
        <v>423</v>
      </c>
      <c r="M9" s="6">
        <v>517</v>
      </c>
      <c r="N9" s="6">
        <v>603</v>
      </c>
      <c r="O9" s="6">
        <v>652</v>
      </c>
      <c r="P9" s="6">
        <v>645</v>
      </c>
      <c r="Q9" s="6">
        <v>641</v>
      </c>
      <c r="R9" s="6">
        <v>882</v>
      </c>
      <c r="S9" s="6">
        <v>654</v>
      </c>
      <c r="T9" s="6">
        <v>598</v>
      </c>
      <c r="U9" s="6">
        <v>665</v>
      </c>
      <c r="V9" s="6">
        <v>521</v>
      </c>
      <c r="W9" s="7"/>
    </row>
    <row r="10" spans="1:23" ht="20" customHeight="1">
      <c r="A10" s="8" t="s">
        <v>19</v>
      </c>
      <c r="B10" s="1">
        <v>547</v>
      </c>
      <c r="C10" s="1">
        <v>524</v>
      </c>
      <c r="D10" s="1">
        <v>641</v>
      </c>
      <c r="E10" s="1">
        <v>614</v>
      </c>
      <c r="F10" s="1">
        <v>517</v>
      </c>
      <c r="G10" s="1">
        <v>599</v>
      </c>
      <c r="H10" s="1">
        <v>651</v>
      </c>
      <c r="I10" s="1">
        <v>543</v>
      </c>
      <c r="J10" s="1">
        <v>455</v>
      </c>
      <c r="K10" s="1">
        <v>383</v>
      </c>
      <c r="L10" s="6">
        <v>467</v>
      </c>
      <c r="M10" s="6">
        <v>518</v>
      </c>
      <c r="N10" s="6">
        <v>653</v>
      </c>
      <c r="O10" s="6">
        <v>697</v>
      </c>
      <c r="P10" s="6">
        <v>706</v>
      </c>
      <c r="Q10" s="6">
        <v>670</v>
      </c>
      <c r="R10" s="6">
        <v>930</v>
      </c>
      <c r="S10" s="6">
        <v>837</v>
      </c>
      <c r="T10" s="6">
        <v>743</v>
      </c>
      <c r="U10" s="6">
        <v>616</v>
      </c>
      <c r="V10" s="6">
        <v>545</v>
      </c>
      <c r="W10" s="7"/>
    </row>
    <row r="11" spans="1:23" ht="20" customHeight="1">
      <c r="A11" s="8" t="s">
        <v>20</v>
      </c>
      <c r="B11" s="1">
        <v>105</v>
      </c>
      <c r="C11" s="1">
        <v>108</v>
      </c>
      <c r="D11" s="1">
        <v>101</v>
      </c>
      <c r="E11" s="1">
        <v>102</v>
      </c>
      <c r="F11" s="1">
        <v>103</v>
      </c>
      <c r="G11" s="1">
        <v>96</v>
      </c>
      <c r="H11" s="1">
        <v>117</v>
      </c>
      <c r="I11" s="1">
        <v>90</v>
      </c>
      <c r="J11" s="1">
        <v>92</v>
      </c>
      <c r="K11" s="1">
        <v>79</v>
      </c>
      <c r="L11" s="6">
        <v>107</v>
      </c>
      <c r="M11" s="6">
        <v>124</v>
      </c>
      <c r="N11" s="6">
        <v>153</v>
      </c>
      <c r="O11" s="6">
        <v>142</v>
      </c>
      <c r="P11" s="6">
        <v>122</v>
      </c>
      <c r="Q11" s="6">
        <v>120</v>
      </c>
      <c r="R11" s="6">
        <v>121</v>
      </c>
      <c r="S11" s="6">
        <v>104</v>
      </c>
      <c r="T11" s="6">
        <v>183</v>
      </c>
      <c r="U11" s="6">
        <v>117</v>
      </c>
      <c r="V11" s="6">
        <v>158</v>
      </c>
      <c r="W11" s="7"/>
    </row>
    <row r="12" spans="1:23" ht="20" customHeight="1">
      <c r="A12" s="8" t="s">
        <v>21</v>
      </c>
      <c r="B12" s="1">
        <v>718</v>
      </c>
      <c r="C12" s="1">
        <v>623</v>
      </c>
      <c r="D12" s="1">
        <v>718</v>
      </c>
      <c r="E12" s="1">
        <v>714</v>
      </c>
      <c r="F12" s="1">
        <v>708</v>
      </c>
      <c r="G12" s="1">
        <v>667</v>
      </c>
      <c r="H12" s="1">
        <v>653</v>
      </c>
      <c r="I12" s="1">
        <v>608</v>
      </c>
      <c r="J12" s="1">
        <v>536</v>
      </c>
      <c r="K12" s="1">
        <v>423</v>
      </c>
      <c r="L12" s="6">
        <v>497</v>
      </c>
      <c r="M12" s="6">
        <v>592</v>
      </c>
      <c r="N12" s="6">
        <v>762</v>
      </c>
      <c r="O12" s="6">
        <v>788</v>
      </c>
      <c r="P12" s="6">
        <v>769</v>
      </c>
      <c r="Q12" s="6">
        <v>839</v>
      </c>
      <c r="R12" s="6">
        <v>998</v>
      </c>
      <c r="S12" s="6">
        <v>819</v>
      </c>
      <c r="T12" s="6">
        <v>764</v>
      </c>
      <c r="U12" s="6">
        <v>741</v>
      </c>
      <c r="V12" s="6">
        <v>598</v>
      </c>
      <c r="W12" s="7"/>
    </row>
    <row r="13" spans="1:23" ht="20" customHeight="1">
      <c r="A13" s="8" t="s">
        <v>22</v>
      </c>
      <c r="B13" s="1">
        <v>592</v>
      </c>
      <c r="C13" s="1">
        <v>583</v>
      </c>
      <c r="D13" s="1">
        <v>748</v>
      </c>
      <c r="E13" s="1">
        <v>714</v>
      </c>
      <c r="F13" s="1">
        <v>650</v>
      </c>
      <c r="G13" s="1">
        <v>701</v>
      </c>
      <c r="H13" s="1">
        <v>626</v>
      </c>
      <c r="I13" s="1">
        <v>474</v>
      </c>
      <c r="J13" s="1">
        <v>339</v>
      </c>
      <c r="K13" s="1">
        <v>292</v>
      </c>
      <c r="L13" s="6">
        <v>379</v>
      </c>
      <c r="M13" s="6">
        <v>415</v>
      </c>
      <c r="N13" s="6">
        <v>547</v>
      </c>
      <c r="O13" s="6">
        <v>780</v>
      </c>
      <c r="P13" s="6">
        <v>824</v>
      </c>
      <c r="Q13" s="6">
        <v>1127</v>
      </c>
      <c r="R13" s="6">
        <v>1416</v>
      </c>
      <c r="S13" s="6">
        <v>1061</v>
      </c>
      <c r="T13" s="6">
        <v>774</v>
      </c>
      <c r="U13" s="6">
        <v>699</v>
      </c>
      <c r="V13" s="6">
        <v>555</v>
      </c>
      <c r="W13" s="7"/>
    </row>
    <row r="14" spans="1:23" ht="20" customHeight="1">
      <c r="A14" s="8" t="s">
        <v>23</v>
      </c>
      <c r="B14" s="1">
        <v>1111</v>
      </c>
      <c r="C14" s="1">
        <v>1016</v>
      </c>
      <c r="D14" s="1">
        <v>1257</v>
      </c>
      <c r="E14" s="1">
        <v>1229</v>
      </c>
      <c r="F14" s="1">
        <v>1164</v>
      </c>
      <c r="G14" s="1">
        <v>1220</v>
      </c>
      <c r="H14" s="1">
        <v>1285</v>
      </c>
      <c r="I14" s="1">
        <v>998</v>
      </c>
      <c r="J14" s="1">
        <v>966</v>
      </c>
      <c r="K14" s="1">
        <v>778</v>
      </c>
      <c r="L14" s="6">
        <v>880</v>
      </c>
      <c r="M14" s="6">
        <v>995</v>
      </c>
      <c r="N14" s="6">
        <v>1242</v>
      </c>
      <c r="O14" s="6">
        <v>1362</v>
      </c>
      <c r="P14" s="6">
        <v>1342</v>
      </c>
      <c r="Q14" s="6">
        <v>1476</v>
      </c>
      <c r="R14" s="6">
        <v>2023</v>
      </c>
      <c r="S14" s="6">
        <v>1569</v>
      </c>
      <c r="T14" s="6">
        <v>1238</v>
      </c>
      <c r="U14" s="6">
        <v>1328</v>
      </c>
      <c r="V14" s="6">
        <v>1059</v>
      </c>
      <c r="W14" s="7"/>
    </row>
    <row r="15" spans="1:23" ht="20" customHeight="1">
      <c r="A15" s="8" t="s">
        <v>24</v>
      </c>
      <c r="B15" s="1">
        <v>699</v>
      </c>
      <c r="C15" s="1">
        <v>587</v>
      </c>
      <c r="D15" s="1">
        <v>730</v>
      </c>
      <c r="E15" s="1">
        <v>617</v>
      </c>
      <c r="F15" s="1">
        <v>543</v>
      </c>
      <c r="G15" s="1">
        <v>604</v>
      </c>
      <c r="H15" s="1">
        <v>545</v>
      </c>
      <c r="I15" s="1">
        <v>459</v>
      </c>
      <c r="J15" s="1">
        <v>427</v>
      </c>
      <c r="K15" s="1">
        <v>340</v>
      </c>
      <c r="L15" s="6">
        <v>484</v>
      </c>
      <c r="M15" s="6">
        <v>409</v>
      </c>
      <c r="N15" s="6">
        <v>566</v>
      </c>
      <c r="O15" s="6">
        <v>655</v>
      </c>
      <c r="P15" s="6">
        <v>706</v>
      </c>
      <c r="Q15" s="6">
        <v>707</v>
      </c>
      <c r="R15" s="6">
        <v>816</v>
      </c>
      <c r="S15" s="6">
        <v>819</v>
      </c>
      <c r="T15" s="6">
        <v>548</v>
      </c>
      <c r="U15" s="6">
        <v>560</v>
      </c>
      <c r="V15" s="6">
        <v>482</v>
      </c>
      <c r="W15" s="7"/>
    </row>
    <row r="16" spans="1:23" ht="20" customHeight="1">
      <c r="A16" s="8" t="s">
        <v>25</v>
      </c>
      <c r="B16" s="1">
        <v>679</v>
      </c>
      <c r="C16" s="1">
        <v>660</v>
      </c>
      <c r="D16" s="1">
        <v>654</v>
      </c>
      <c r="E16" s="1">
        <v>755</v>
      </c>
      <c r="F16" s="1">
        <v>651</v>
      </c>
      <c r="G16" s="1">
        <v>651</v>
      </c>
      <c r="H16" s="1">
        <v>638</v>
      </c>
      <c r="I16" s="1">
        <v>596</v>
      </c>
      <c r="J16" s="1">
        <v>502</v>
      </c>
      <c r="K16" s="1">
        <v>484</v>
      </c>
      <c r="L16" s="6">
        <v>507</v>
      </c>
      <c r="M16" s="6">
        <v>559</v>
      </c>
      <c r="N16" s="6">
        <v>696</v>
      </c>
      <c r="O16" s="6">
        <v>769</v>
      </c>
      <c r="P16" s="6">
        <v>768</v>
      </c>
      <c r="Q16" s="6">
        <v>678</v>
      </c>
      <c r="R16" s="6">
        <v>866</v>
      </c>
      <c r="S16" s="6">
        <v>784</v>
      </c>
      <c r="T16" s="6">
        <v>620</v>
      </c>
      <c r="U16" s="6">
        <v>640</v>
      </c>
      <c r="V16" s="6">
        <v>595</v>
      </c>
      <c r="W16" s="7"/>
    </row>
    <row r="17" spans="1:23" ht="20" customHeight="1">
      <c r="A17" s="8" t="s">
        <v>26</v>
      </c>
      <c r="B17" s="1">
        <v>459</v>
      </c>
      <c r="C17" s="1">
        <v>410</v>
      </c>
      <c r="D17" s="1">
        <v>453</v>
      </c>
      <c r="E17" s="1">
        <v>520</v>
      </c>
      <c r="F17" s="1">
        <v>449</v>
      </c>
      <c r="G17" s="1">
        <v>531</v>
      </c>
      <c r="H17" s="1">
        <v>530</v>
      </c>
      <c r="I17" s="1">
        <v>449</v>
      </c>
      <c r="J17" s="1">
        <v>361</v>
      </c>
      <c r="K17" s="1">
        <v>253</v>
      </c>
      <c r="L17" s="6">
        <v>342</v>
      </c>
      <c r="M17" s="6">
        <v>382</v>
      </c>
      <c r="N17" s="6">
        <v>516</v>
      </c>
      <c r="O17" s="6">
        <v>570</v>
      </c>
      <c r="P17" s="6">
        <v>616</v>
      </c>
      <c r="Q17" s="6">
        <v>624</v>
      </c>
      <c r="R17" s="6">
        <v>810</v>
      </c>
      <c r="S17" s="6">
        <v>912</v>
      </c>
      <c r="T17" s="6">
        <v>603</v>
      </c>
      <c r="U17" s="6">
        <v>627</v>
      </c>
      <c r="V17" s="6">
        <v>532</v>
      </c>
      <c r="W17" s="7"/>
    </row>
    <row r="18" spans="1:23" ht="20" customHeight="1">
      <c r="A18" s="8" t="s">
        <v>27</v>
      </c>
      <c r="B18" s="1">
        <v>303</v>
      </c>
      <c r="C18" s="1">
        <v>264</v>
      </c>
      <c r="D18" s="1">
        <v>303</v>
      </c>
      <c r="E18" s="1">
        <v>288</v>
      </c>
      <c r="F18" s="1">
        <v>260</v>
      </c>
      <c r="G18" s="1">
        <v>307</v>
      </c>
      <c r="H18" s="1">
        <v>282</v>
      </c>
      <c r="I18" s="1">
        <v>286</v>
      </c>
      <c r="J18" s="1">
        <v>247</v>
      </c>
      <c r="K18" s="1">
        <v>176</v>
      </c>
      <c r="L18" s="6">
        <v>235</v>
      </c>
      <c r="M18" s="6">
        <v>235</v>
      </c>
      <c r="N18" s="6">
        <v>252</v>
      </c>
      <c r="O18" s="6">
        <v>330</v>
      </c>
      <c r="P18" s="6">
        <v>322</v>
      </c>
      <c r="Q18" s="6">
        <v>242</v>
      </c>
      <c r="R18" s="6">
        <v>320</v>
      </c>
      <c r="S18" s="6">
        <v>306</v>
      </c>
      <c r="T18" s="6">
        <v>279</v>
      </c>
      <c r="U18" s="6">
        <v>287</v>
      </c>
      <c r="V18" s="6">
        <v>233</v>
      </c>
      <c r="W18" s="7"/>
    </row>
    <row r="19" spans="1:23" ht="20" customHeight="1">
      <c r="A19" s="8" t="s">
        <v>28</v>
      </c>
      <c r="B19" s="1">
        <v>140</v>
      </c>
      <c r="C19" s="1">
        <v>114</v>
      </c>
      <c r="D19" s="1">
        <v>117</v>
      </c>
      <c r="E19" s="1">
        <v>118</v>
      </c>
      <c r="F19" s="1">
        <v>128</v>
      </c>
      <c r="G19" s="1">
        <v>118</v>
      </c>
      <c r="H19" s="1">
        <v>111</v>
      </c>
      <c r="I19" s="1">
        <v>135</v>
      </c>
      <c r="J19" s="1">
        <v>117</v>
      </c>
      <c r="K19" s="1">
        <v>79</v>
      </c>
      <c r="L19" s="6">
        <v>89</v>
      </c>
      <c r="M19" s="6">
        <v>85</v>
      </c>
      <c r="N19" s="6">
        <v>119</v>
      </c>
      <c r="O19" s="6">
        <v>162</v>
      </c>
      <c r="P19" s="6">
        <v>156</v>
      </c>
      <c r="Q19" s="6">
        <v>126</v>
      </c>
      <c r="R19" s="6">
        <v>191</v>
      </c>
      <c r="S19" s="6">
        <v>135</v>
      </c>
      <c r="T19" s="6">
        <v>147</v>
      </c>
      <c r="U19" s="6">
        <v>188</v>
      </c>
      <c r="V19" s="6">
        <v>103</v>
      </c>
      <c r="W19" s="7"/>
    </row>
    <row r="20" spans="1:23" ht="20" customHeight="1">
      <c r="A20" s="8" t="s">
        <v>29</v>
      </c>
      <c r="B20" s="1">
        <v>164</v>
      </c>
      <c r="C20" s="1">
        <v>115</v>
      </c>
      <c r="D20" s="1">
        <v>152</v>
      </c>
      <c r="E20" s="1">
        <v>128</v>
      </c>
      <c r="F20" s="1">
        <v>193</v>
      </c>
      <c r="G20" s="1">
        <v>163</v>
      </c>
      <c r="H20" s="1">
        <v>140</v>
      </c>
      <c r="I20" s="1">
        <v>133</v>
      </c>
      <c r="J20" s="1">
        <v>126</v>
      </c>
      <c r="K20" s="1">
        <v>118</v>
      </c>
      <c r="L20" s="6">
        <v>127</v>
      </c>
      <c r="M20" s="6">
        <v>97</v>
      </c>
      <c r="N20" s="6">
        <v>133</v>
      </c>
      <c r="O20" s="6">
        <v>152</v>
      </c>
      <c r="P20" s="6">
        <v>195</v>
      </c>
      <c r="Q20" s="6">
        <v>144</v>
      </c>
      <c r="R20" s="6">
        <v>135</v>
      </c>
      <c r="S20" s="6">
        <v>162</v>
      </c>
      <c r="T20" s="6">
        <v>112</v>
      </c>
      <c r="U20" s="6">
        <v>161</v>
      </c>
      <c r="V20" s="6">
        <v>116</v>
      </c>
      <c r="W20" s="7"/>
    </row>
    <row r="21" spans="1:23" ht="20" customHeight="1">
      <c r="A21" s="8" t="s">
        <v>30</v>
      </c>
      <c r="B21" s="1">
        <v>55</v>
      </c>
      <c r="C21" s="1">
        <v>30</v>
      </c>
      <c r="D21" s="1">
        <v>30</v>
      </c>
      <c r="E21" s="1">
        <v>43</v>
      </c>
      <c r="F21" s="1">
        <v>39</v>
      </c>
      <c r="G21" s="1">
        <v>42</v>
      </c>
      <c r="H21" s="1">
        <v>34</v>
      </c>
      <c r="I21" s="1">
        <v>37</v>
      </c>
      <c r="J21" s="1">
        <v>21</v>
      </c>
      <c r="K21" s="1">
        <v>22</v>
      </c>
      <c r="L21" s="6">
        <v>28</v>
      </c>
      <c r="M21" s="6">
        <v>26</v>
      </c>
      <c r="N21" s="6">
        <v>34</v>
      </c>
      <c r="O21" s="6">
        <v>45</v>
      </c>
      <c r="P21" s="6">
        <v>40</v>
      </c>
      <c r="Q21" s="6">
        <v>38</v>
      </c>
      <c r="R21" s="6">
        <v>27</v>
      </c>
      <c r="S21" s="6">
        <v>35</v>
      </c>
      <c r="T21" s="6">
        <v>39</v>
      </c>
      <c r="U21" s="6">
        <v>43</v>
      </c>
      <c r="V21" s="6">
        <v>49</v>
      </c>
      <c r="W21" s="7"/>
    </row>
    <row r="22" spans="1:23" ht="20" customHeight="1">
      <c r="A22" s="8" t="s">
        <v>31</v>
      </c>
      <c r="B22" s="1">
        <v>309</v>
      </c>
      <c r="C22" s="1">
        <v>312</v>
      </c>
      <c r="D22" s="1">
        <v>261</v>
      </c>
      <c r="E22" s="1">
        <v>254</v>
      </c>
      <c r="F22" s="1">
        <v>270</v>
      </c>
      <c r="G22" s="1">
        <v>249</v>
      </c>
      <c r="H22" s="1">
        <v>252</v>
      </c>
      <c r="I22" s="1">
        <v>281</v>
      </c>
      <c r="J22" s="1">
        <v>244</v>
      </c>
      <c r="K22" s="1">
        <v>191</v>
      </c>
      <c r="L22" s="6">
        <v>239</v>
      </c>
      <c r="M22" s="6">
        <v>235</v>
      </c>
      <c r="N22" s="6">
        <v>324</v>
      </c>
      <c r="O22" s="6">
        <v>315</v>
      </c>
      <c r="P22" s="6">
        <v>377</v>
      </c>
      <c r="Q22" s="6">
        <v>362</v>
      </c>
      <c r="R22" s="6">
        <v>393</v>
      </c>
      <c r="S22" s="6">
        <v>415</v>
      </c>
      <c r="T22" s="6">
        <v>323</v>
      </c>
      <c r="U22" s="6">
        <v>310</v>
      </c>
      <c r="V22" s="6">
        <v>312</v>
      </c>
      <c r="W22" s="7"/>
    </row>
    <row r="23" spans="1:23" ht="20" customHeight="1">
      <c r="A23" s="8" t="s">
        <v>32</v>
      </c>
      <c r="B23" s="1">
        <v>1105</v>
      </c>
      <c r="C23" s="1">
        <v>1066</v>
      </c>
      <c r="D23" s="1">
        <v>1343</v>
      </c>
      <c r="E23" s="1">
        <v>1257</v>
      </c>
      <c r="F23" s="1">
        <v>1094</v>
      </c>
      <c r="G23" s="1">
        <v>1065</v>
      </c>
      <c r="H23" s="1">
        <v>1198</v>
      </c>
      <c r="I23" s="1">
        <v>939</v>
      </c>
      <c r="J23" s="1">
        <v>733</v>
      </c>
      <c r="K23" s="1">
        <v>681</v>
      </c>
      <c r="L23" s="6">
        <v>804</v>
      </c>
      <c r="M23" s="6">
        <v>818</v>
      </c>
      <c r="N23" s="6">
        <v>1074</v>
      </c>
      <c r="O23" s="6">
        <v>1213</v>
      </c>
      <c r="P23" s="6">
        <v>1252</v>
      </c>
      <c r="Q23" s="6">
        <v>1436</v>
      </c>
      <c r="R23" s="6">
        <v>2007</v>
      </c>
      <c r="S23" s="6">
        <v>1525</v>
      </c>
      <c r="T23" s="6">
        <v>1244</v>
      </c>
      <c r="U23" s="6">
        <v>1032</v>
      </c>
      <c r="V23" s="6">
        <v>968</v>
      </c>
      <c r="W23" s="7"/>
    </row>
    <row r="24" spans="1:23" ht="20" customHeight="1">
      <c r="A24" s="8" t="s">
        <v>33</v>
      </c>
      <c r="B24" s="1">
        <v>164</v>
      </c>
      <c r="C24" s="1">
        <v>150</v>
      </c>
      <c r="D24" s="1">
        <v>122</v>
      </c>
      <c r="E24" s="1">
        <v>150</v>
      </c>
      <c r="F24" s="1">
        <v>152</v>
      </c>
      <c r="G24" s="1">
        <v>152</v>
      </c>
      <c r="H24" s="1">
        <v>115</v>
      </c>
      <c r="I24" s="1">
        <v>121</v>
      </c>
      <c r="J24" s="1">
        <v>153</v>
      </c>
      <c r="K24" s="1">
        <v>126</v>
      </c>
      <c r="L24" s="6">
        <v>240</v>
      </c>
      <c r="M24" s="6">
        <v>103</v>
      </c>
      <c r="N24" s="6">
        <v>116</v>
      </c>
      <c r="O24" s="6">
        <v>134</v>
      </c>
      <c r="P24" s="6">
        <v>150</v>
      </c>
      <c r="Q24" s="6">
        <v>135</v>
      </c>
      <c r="R24" s="6">
        <v>259</v>
      </c>
      <c r="S24" s="6">
        <v>210</v>
      </c>
      <c r="T24" s="6">
        <v>170</v>
      </c>
      <c r="U24" s="6">
        <v>143</v>
      </c>
      <c r="V24" s="6">
        <v>89</v>
      </c>
      <c r="W24" s="7"/>
    </row>
    <row r="25" spans="1:23" ht="20" customHeight="1">
      <c r="A25" s="8" t="s">
        <v>34</v>
      </c>
      <c r="B25" s="1">
        <v>397</v>
      </c>
      <c r="C25" s="1">
        <v>365</v>
      </c>
      <c r="D25" s="1">
        <v>406</v>
      </c>
      <c r="E25" s="1">
        <v>429</v>
      </c>
      <c r="F25" s="1">
        <v>416</v>
      </c>
      <c r="G25" s="1">
        <v>463</v>
      </c>
      <c r="H25" s="1">
        <v>505</v>
      </c>
      <c r="I25" s="1">
        <v>393</v>
      </c>
      <c r="J25" s="1">
        <v>310</v>
      </c>
      <c r="K25" s="1">
        <v>272</v>
      </c>
      <c r="L25" s="6">
        <v>331</v>
      </c>
      <c r="M25" s="6">
        <v>358</v>
      </c>
      <c r="N25" s="6">
        <v>437</v>
      </c>
      <c r="O25" s="6">
        <v>499</v>
      </c>
      <c r="P25" s="6">
        <v>486</v>
      </c>
      <c r="Q25" s="6">
        <v>514</v>
      </c>
      <c r="R25" s="6">
        <v>583</v>
      </c>
      <c r="S25" s="6">
        <v>636</v>
      </c>
      <c r="T25" s="6">
        <v>483</v>
      </c>
      <c r="U25" s="6">
        <v>512</v>
      </c>
      <c r="V25" s="6">
        <v>376</v>
      </c>
      <c r="W25" s="7"/>
    </row>
    <row r="26" spans="1:23" ht="20" customHeight="1">
      <c r="A26" s="8" t="s">
        <v>35</v>
      </c>
      <c r="B26" s="1">
        <v>197</v>
      </c>
      <c r="C26" s="1">
        <v>171</v>
      </c>
      <c r="D26" s="1">
        <v>232</v>
      </c>
      <c r="E26" s="1">
        <v>196</v>
      </c>
      <c r="F26" s="1">
        <v>154</v>
      </c>
      <c r="G26" s="1">
        <v>175</v>
      </c>
      <c r="H26" s="1">
        <v>214</v>
      </c>
      <c r="I26" s="1">
        <v>192</v>
      </c>
      <c r="J26" s="1">
        <v>199</v>
      </c>
      <c r="K26" s="1">
        <v>129</v>
      </c>
      <c r="L26" s="6">
        <v>185</v>
      </c>
      <c r="M26" s="6">
        <v>156</v>
      </c>
      <c r="N26" s="6">
        <v>175</v>
      </c>
      <c r="O26" s="6">
        <v>232</v>
      </c>
      <c r="P26" s="6">
        <v>212</v>
      </c>
      <c r="Q26" s="6">
        <v>203</v>
      </c>
      <c r="R26" s="6">
        <v>199</v>
      </c>
      <c r="S26" s="6">
        <v>189</v>
      </c>
      <c r="T26" s="6">
        <v>154</v>
      </c>
      <c r="U26" s="6">
        <v>319</v>
      </c>
      <c r="V26" s="6">
        <v>169</v>
      </c>
      <c r="W26" s="7"/>
    </row>
    <row r="27" spans="1:23" ht="20" customHeight="1">
      <c r="A27" s="8" t="s">
        <v>36</v>
      </c>
      <c r="B27" s="1">
        <v>444</v>
      </c>
      <c r="C27" s="1">
        <v>365</v>
      </c>
      <c r="D27" s="1">
        <v>435</v>
      </c>
      <c r="E27" s="1">
        <v>454</v>
      </c>
      <c r="F27" s="1">
        <v>500</v>
      </c>
      <c r="G27" s="1">
        <v>431</v>
      </c>
      <c r="H27" s="1">
        <v>434</v>
      </c>
      <c r="I27" s="1">
        <v>380</v>
      </c>
      <c r="J27" s="1">
        <v>340</v>
      </c>
      <c r="K27" s="1">
        <v>320</v>
      </c>
      <c r="L27" s="6">
        <v>339</v>
      </c>
      <c r="M27" s="6">
        <v>329</v>
      </c>
      <c r="N27" s="6">
        <v>422</v>
      </c>
      <c r="O27" s="6">
        <v>540</v>
      </c>
      <c r="P27" s="6">
        <v>467</v>
      </c>
      <c r="Q27" s="6">
        <v>502</v>
      </c>
      <c r="R27" s="6">
        <v>756</v>
      </c>
      <c r="S27" s="6">
        <v>715</v>
      </c>
      <c r="T27" s="6">
        <v>587</v>
      </c>
      <c r="U27" s="6">
        <v>677</v>
      </c>
      <c r="V27" s="6">
        <v>466</v>
      </c>
      <c r="W27" s="7"/>
    </row>
    <row r="28" spans="1:23" ht="20" customHeight="1">
      <c r="A28" s="8" t="s">
        <v>37</v>
      </c>
      <c r="B28" s="1">
        <v>811</v>
      </c>
      <c r="C28" s="1">
        <v>850</v>
      </c>
      <c r="D28" s="1">
        <v>856</v>
      </c>
      <c r="E28" s="1">
        <v>765</v>
      </c>
      <c r="F28" s="1">
        <v>764</v>
      </c>
      <c r="G28" s="1">
        <v>776</v>
      </c>
      <c r="H28" s="1">
        <v>698</v>
      </c>
      <c r="I28" s="1">
        <v>576</v>
      </c>
      <c r="J28" s="1">
        <v>595</v>
      </c>
      <c r="K28" s="1">
        <v>555</v>
      </c>
      <c r="L28" s="6">
        <v>500</v>
      </c>
      <c r="M28" s="6">
        <v>596</v>
      </c>
      <c r="N28" s="6">
        <v>640</v>
      </c>
      <c r="O28" s="6">
        <v>804</v>
      </c>
      <c r="P28" s="6">
        <v>764</v>
      </c>
      <c r="Q28" s="6">
        <v>704</v>
      </c>
      <c r="R28" s="6">
        <v>764</v>
      </c>
      <c r="S28" s="6">
        <v>749</v>
      </c>
      <c r="T28" s="6">
        <v>644</v>
      </c>
      <c r="U28" s="6">
        <v>645</v>
      </c>
      <c r="V28" s="6">
        <v>494</v>
      </c>
      <c r="W28" s="7"/>
    </row>
    <row r="29" spans="1:23" ht="20" customHeight="1">
      <c r="A29" s="8" t="s">
        <v>38</v>
      </c>
      <c r="B29" s="1">
        <v>342</v>
      </c>
      <c r="C29" s="1">
        <v>297</v>
      </c>
      <c r="D29" s="1">
        <v>306</v>
      </c>
      <c r="E29" s="1">
        <v>307</v>
      </c>
      <c r="F29" s="1">
        <v>297</v>
      </c>
      <c r="G29" s="1">
        <v>235</v>
      </c>
      <c r="H29" s="1">
        <v>239</v>
      </c>
      <c r="I29" s="1">
        <v>173</v>
      </c>
      <c r="J29" s="1">
        <v>152</v>
      </c>
      <c r="K29" s="1">
        <v>175</v>
      </c>
      <c r="L29" s="6">
        <v>176</v>
      </c>
      <c r="M29" s="6">
        <v>167</v>
      </c>
      <c r="N29" s="6">
        <v>248</v>
      </c>
      <c r="O29" s="6">
        <v>317</v>
      </c>
      <c r="P29" s="6">
        <v>371</v>
      </c>
      <c r="Q29" s="6">
        <v>399</v>
      </c>
      <c r="R29" s="6">
        <v>708</v>
      </c>
      <c r="S29" s="6">
        <v>584</v>
      </c>
      <c r="T29" s="6">
        <v>367</v>
      </c>
      <c r="U29" s="6">
        <v>392</v>
      </c>
      <c r="V29" s="6">
        <v>328</v>
      </c>
      <c r="W29" s="7"/>
    </row>
    <row r="30" spans="1:23" ht="20" customHeight="1">
      <c r="A30" s="8" t="s">
        <v>39</v>
      </c>
      <c r="B30" s="1">
        <v>1130</v>
      </c>
      <c r="C30" s="1">
        <v>1087</v>
      </c>
      <c r="D30" s="1">
        <v>1111</v>
      </c>
      <c r="E30" s="1">
        <v>1029</v>
      </c>
      <c r="F30" s="1">
        <v>941</v>
      </c>
      <c r="G30" s="1">
        <v>967</v>
      </c>
      <c r="H30" s="1">
        <v>918</v>
      </c>
      <c r="I30" s="1">
        <v>744</v>
      </c>
      <c r="J30" s="1">
        <v>983</v>
      </c>
      <c r="K30" s="1">
        <v>605</v>
      </c>
      <c r="L30" s="6">
        <v>723</v>
      </c>
      <c r="M30" s="6">
        <v>1555</v>
      </c>
      <c r="N30" s="6">
        <v>987</v>
      </c>
      <c r="O30" s="6">
        <v>1188</v>
      </c>
      <c r="P30" s="6">
        <v>1057</v>
      </c>
      <c r="Q30" s="6">
        <v>1033</v>
      </c>
      <c r="R30" s="6">
        <v>1302</v>
      </c>
      <c r="S30" s="6">
        <v>1418</v>
      </c>
      <c r="T30" s="6">
        <v>1126</v>
      </c>
      <c r="U30" s="6">
        <v>1112</v>
      </c>
      <c r="V30" s="6">
        <v>882</v>
      </c>
      <c r="W30" s="7"/>
    </row>
    <row r="31" spans="1:23" ht="20" customHeight="1">
      <c r="A31" s="8" t="s">
        <v>40</v>
      </c>
      <c r="B31" s="1">
        <v>275</v>
      </c>
      <c r="C31" s="1">
        <v>230</v>
      </c>
      <c r="D31" s="1">
        <v>339</v>
      </c>
      <c r="E31" s="1">
        <v>363</v>
      </c>
      <c r="F31" s="1">
        <v>341</v>
      </c>
      <c r="G31" s="1">
        <v>394</v>
      </c>
      <c r="H31" s="1">
        <v>285</v>
      </c>
      <c r="I31" s="1">
        <v>322</v>
      </c>
      <c r="J31" s="1">
        <v>204</v>
      </c>
      <c r="K31" s="1">
        <v>158</v>
      </c>
      <c r="L31" s="6">
        <v>197</v>
      </c>
      <c r="M31" s="6">
        <v>265</v>
      </c>
      <c r="N31" s="6">
        <v>260</v>
      </c>
      <c r="O31" s="6">
        <v>338</v>
      </c>
      <c r="P31" s="6">
        <v>423</v>
      </c>
      <c r="Q31" s="6">
        <v>386</v>
      </c>
      <c r="R31" s="6">
        <v>689</v>
      </c>
      <c r="S31" s="6">
        <v>611</v>
      </c>
      <c r="T31" s="6">
        <v>479</v>
      </c>
      <c r="U31" s="6">
        <v>362</v>
      </c>
      <c r="V31" s="6">
        <v>357</v>
      </c>
      <c r="W31" s="7"/>
    </row>
    <row r="32" spans="1:23" ht="20" customHeight="1">
      <c r="A32" s="8" t="s">
        <v>41</v>
      </c>
      <c r="B32" s="1">
        <v>336</v>
      </c>
      <c r="C32" s="1">
        <v>357</v>
      </c>
      <c r="D32" s="1">
        <v>349</v>
      </c>
      <c r="E32" s="1">
        <v>382</v>
      </c>
      <c r="F32" s="1">
        <v>367</v>
      </c>
      <c r="G32" s="1">
        <v>399</v>
      </c>
      <c r="H32" s="1">
        <v>331</v>
      </c>
      <c r="I32" s="1">
        <v>277</v>
      </c>
      <c r="J32" s="1">
        <v>220</v>
      </c>
      <c r="K32" s="1">
        <v>235</v>
      </c>
      <c r="L32" s="6">
        <v>237</v>
      </c>
      <c r="M32" s="6">
        <v>232</v>
      </c>
      <c r="N32" s="6">
        <v>310</v>
      </c>
      <c r="O32" s="6">
        <v>380</v>
      </c>
      <c r="P32" s="6">
        <v>454</v>
      </c>
      <c r="Q32" s="6">
        <v>573</v>
      </c>
      <c r="R32" s="6">
        <v>863</v>
      </c>
      <c r="S32" s="6">
        <v>474</v>
      </c>
      <c r="T32" s="6">
        <v>455</v>
      </c>
      <c r="U32" s="6">
        <v>314</v>
      </c>
      <c r="V32" s="6">
        <v>351</v>
      </c>
      <c r="W32" s="7"/>
    </row>
    <row r="33" spans="1:23" ht="20" customHeight="1">
      <c r="A33" s="8" t="s">
        <v>42</v>
      </c>
      <c r="B33" s="1">
        <v>184</v>
      </c>
      <c r="C33" s="1">
        <v>171</v>
      </c>
      <c r="D33" s="1">
        <v>218</v>
      </c>
      <c r="E33" s="1">
        <v>268</v>
      </c>
      <c r="F33" s="1">
        <v>169</v>
      </c>
      <c r="G33" s="1">
        <v>284</v>
      </c>
      <c r="H33" s="1">
        <v>229</v>
      </c>
      <c r="I33" s="1">
        <v>177</v>
      </c>
      <c r="J33" s="1">
        <v>236</v>
      </c>
      <c r="K33" s="1">
        <v>145</v>
      </c>
      <c r="L33" s="6">
        <v>164</v>
      </c>
      <c r="M33" s="6">
        <v>139</v>
      </c>
      <c r="N33" s="6">
        <v>201</v>
      </c>
      <c r="O33" s="6">
        <v>221</v>
      </c>
      <c r="P33" s="6">
        <v>237</v>
      </c>
      <c r="Q33" s="6">
        <v>236</v>
      </c>
      <c r="R33" s="6">
        <v>342</v>
      </c>
      <c r="S33" s="6">
        <v>250</v>
      </c>
      <c r="T33" s="6">
        <v>240</v>
      </c>
      <c r="U33" s="6">
        <v>268</v>
      </c>
      <c r="V33" s="6">
        <v>169</v>
      </c>
      <c r="W33" s="7"/>
    </row>
    <row r="34" spans="1:23" ht="20" customHeight="1">
      <c r="A34" s="8" t="s">
        <v>43</v>
      </c>
      <c r="B34" s="1">
        <v>377</v>
      </c>
      <c r="C34" s="1">
        <v>360</v>
      </c>
      <c r="D34" s="1">
        <v>385</v>
      </c>
      <c r="E34" s="1">
        <v>432</v>
      </c>
      <c r="F34" s="1">
        <v>333</v>
      </c>
      <c r="G34" s="1">
        <v>406</v>
      </c>
      <c r="H34" s="1">
        <v>379</v>
      </c>
      <c r="I34" s="1">
        <v>384</v>
      </c>
      <c r="J34" s="1">
        <v>360</v>
      </c>
      <c r="K34" s="1">
        <v>336</v>
      </c>
      <c r="L34" s="6">
        <v>354</v>
      </c>
      <c r="M34" s="6">
        <v>317</v>
      </c>
      <c r="N34" s="6">
        <v>396</v>
      </c>
      <c r="O34" s="6">
        <v>509</v>
      </c>
      <c r="P34" s="6">
        <v>533</v>
      </c>
      <c r="Q34" s="6">
        <v>546</v>
      </c>
      <c r="R34" s="6">
        <v>654</v>
      </c>
      <c r="S34" s="6">
        <v>613</v>
      </c>
      <c r="T34" s="6">
        <v>442</v>
      </c>
      <c r="U34" s="6">
        <v>456</v>
      </c>
      <c r="V34" s="6">
        <v>430</v>
      </c>
      <c r="W34" s="7"/>
    </row>
    <row r="35" spans="1:23" ht="20" customHeight="1">
      <c r="A35" s="8" t="s">
        <v>44</v>
      </c>
      <c r="B35" s="1">
        <v>200</v>
      </c>
      <c r="C35" s="1">
        <v>212</v>
      </c>
      <c r="D35" s="1">
        <v>235</v>
      </c>
      <c r="E35" s="1">
        <v>481</v>
      </c>
      <c r="F35" s="1">
        <v>231</v>
      </c>
      <c r="G35" s="1">
        <v>239</v>
      </c>
      <c r="H35" s="1">
        <v>248</v>
      </c>
      <c r="I35" s="1">
        <v>253</v>
      </c>
      <c r="J35" s="1">
        <v>190</v>
      </c>
      <c r="K35" s="1">
        <v>202</v>
      </c>
      <c r="L35" s="6">
        <v>182</v>
      </c>
      <c r="M35" s="6">
        <v>166</v>
      </c>
      <c r="N35" s="6">
        <v>222</v>
      </c>
      <c r="O35" s="6">
        <v>307</v>
      </c>
      <c r="P35" s="6">
        <v>297</v>
      </c>
      <c r="Q35" s="6">
        <v>320</v>
      </c>
      <c r="R35" s="6">
        <v>444</v>
      </c>
      <c r="S35" s="6">
        <v>334</v>
      </c>
      <c r="T35" s="6">
        <v>275</v>
      </c>
      <c r="U35" s="6">
        <v>248</v>
      </c>
      <c r="V35" s="6">
        <v>282</v>
      </c>
      <c r="W35" s="7"/>
    </row>
    <row r="36" spans="1:23" ht="20" customHeight="1">
      <c r="A36" s="8" t="s">
        <v>45</v>
      </c>
      <c r="B36" s="1">
        <v>160</v>
      </c>
      <c r="C36" s="1">
        <v>172</v>
      </c>
      <c r="D36" s="1">
        <v>201</v>
      </c>
      <c r="E36" s="1">
        <v>188</v>
      </c>
      <c r="F36" s="1">
        <v>154</v>
      </c>
      <c r="G36" s="1">
        <v>163</v>
      </c>
      <c r="H36" s="1">
        <v>185</v>
      </c>
      <c r="I36" s="1">
        <v>165</v>
      </c>
      <c r="J36" s="1">
        <v>163</v>
      </c>
      <c r="K36" s="1">
        <v>137</v>
      </c>
      <c r="L36" s="6">
        <v>183</v>
      </c>
      <c r="M36" s="6">
        <v>240</v>
      </c>
      <c r="N36" s="6">
        <v>227</v>
      </c>
      <c r="O36" s="6">
        <v>283</v>
      </c>
      <c r="P36" s="6">
        <v>259</v>
      </c>
      <c r="Q36" s="6">
        <v>424</v>
      </c>
      <c r="R36" s="6">
        <v>405</v>
      </c>
      <c r="S36" s="6">
        <v>361</v>
      </c>
      <c r="T36" s="6">
        <v>310</v>
      </c>
      <c r="U36" s="6">
        <v>248</v>
      </c>
      <c r="V36" s="6">
        <v>229</v>
      </c>
      <c r="W36" s="7"/>
    </row>
    <row r="37" spans="1:23" ht="20" customHeight="1">
      <c r="A37" s="8" t="s">
        <v>46</v>
      </c>
      <c r="B37" s="1">
        <v>239</v>
      </c>
      <c r="C37" s="1">
        <v>219</v>
      </c>
      <c r="D37" s="1">
        <v>289</v>
      </c>
      <c r="E37" s="1">
        <v>228</v>
      </c>
      <c r="F37" s="1">
        <v>250</v>
      </c>
      <c r="G37" s="1">
        <v>229</v>
      </c>
      <c r="H37" s="1">
        <v>250</v>
      </c>
      <c r="I37" s="1">
        <v>250</v>
      </c>
      <c r="J37" s="1">
        <v>251</v>
      </c>
      <c r="K37" s="1">
        <v>158</v>
      </c>
      <c r="L37" s="6">
        <v>241</v>
      </c>
      <c r="M37" s="6">
        <v>252</v>
      </c>
      <c r="N37" s="6">
        <v>277</v>
      </c>
      <c r="O37" s="6">
        <v>330</v>
      </c>
      <c r="P37" s="6">
        <v>328</v>
      </c>
      <c r="Q37" s="6">
        <v>327</v>
      </c>
      <c r="R37" s="6">
        <v>398</v>
      </c>
      <c r="S37" s="6">
        <v>374</v>
      </c>
      <c r="T37" s="6">
        <v>274</v>
      </c>
      <c r="U37" s="6">
        <v>286</v>
      </c>
      <c r="V37" s="6">
        <v>252</v>
      </c>
      <c r="W37" s="7"/>
    </row>
    <row r="38" spans="1:23" ht="20" customHeight="1">
      <c r="A38" s="8" t="s">
        <v>47</v>
      </c>
      <c r="B38" s="1">
        <v>172</v>
      </c>
      <c r="C38" s="1">
        <v>95</v>
      </c>
      <c r="D38" s="1">
        <v>158</v>
      </c>
      <c r="E38" s="1">
        <v>142</v>
      </c>
      <c r="F38" s="1">
        <v>143</v>
      </c>
      <c r="G38" s="1">
        <v>161</v>
      </c>
      <c r="H38" s="1">
        <v>140</v>
      </c>
      <c r="I38" s="1">
        <v>125</v>
      </c>
      <c r="J38" s="1">
        <v>129</v>
      </c>
      <c r="K38" s="1">
        <v>103</v>
      </c>
      <c r="L38" s="6">
        <v>152</v>
      </c>
      <c r="M38" s="6">
        <v>134</v>
      </c>
      <c r="N38" s="6">
        <v>155</v>
      </c>
      <c r="O38" s="6">
        <v>135</v>
      </c>
      <c r="P38" s="6">
        <v>188</v>
      </c>
      <c r="Q38" s="6">
        <v>143</v>
      </c>
      <c r="R38" s="6">
        <v>224</v>
      </c>
      <c r="S38" s="6">
        <v>189</v>
      </c>
      <c r="T38" s="6">
        <v>144</v>
      </c>
      <c r="U38" s="6">
        <v>133</v>
      </c>
      <c r="V38" s="6">
        <v>106</v>
      </c>
      <c r="W38" s="7"/>
    </row>
    <row r="39" spans="1:23" ht="20" customHeight="1">
      <c r="A39" s="8" t="s">
        <v>48</v>
      </c>
      <c r="B39" s="1">
        <v>275</v>
      </c>
      <c r="C39" s="1">
        <v>227</v>
      </c>
      <c r="D39" s="1">
        <v>338</v>
      </c>
      <c r="E39" s="1">
        <v>312</v>
      </c>
      <c r="F39" s="1">
        <v>300</v>
      </c>
      <c r="G39" s="1">
        <v>358</v>
      </c>
      <c r="H39" s="1">
        <v>334</v>
      </c>
      <c r="I39" s="1">
        <v>288</v>
      </c>
      <c r="J39" s="1">
        <v>235</v>
      </c>
      <c r="K39" s="1">
        <v>173</v>
      </c>
      <c r="L39" s="6">
        <v>206</v>
      </c>
      <c r="M39" s="6">
        <v>229</v>
      </c>
      <c r="N39" s="6">
        <v>308</v>
      </c>
      <c r="O39" s="6">
        <v>401</v>
      </c>
      <c r="P39" s="6">
        <v>385</v>
      </c>
      <c r="Q39" s="6">
        <v>421</v>
      </c>
      <c r="R39" s="6">
        <v>719</v>
      </c>
      <c r="S39" s="6">
        <v>651</v>
      </c>
      <c r="T39" s="6">
        <v>452</v>
      </c>
      <c r="U39" s="6">
        <v>333</v>
      </c>
      <c r="V39" s="6">
        <v>338</v>
      </c>
      <c r="W39" s="7"/>
    </row>
    <row r="40" spans="1:23" ht="20" customHeight="1">
      <c r="A40" s="8" t="s">
        <v>49</v>
      </c>
      <c r="B40" s="1">
        <v>199</v>
      </c>
      <c r="C40" s="1">
        <v>154</v>
      </c>
      <c r="D40" s="1">
        <v>231</v>
      </c>
      <c r="E40" s="1">
        <v>181</v>
      </c>
      <c r="F40" s="1">
        <v>191</v>
      </c>
      <c r="G40" s="1">
        <v>253</v>
      </c>
      <c r="H40" s="1">
        <v>206</v>
      </c>
      <c r="I40" s="1">
        <v>170</v>
      </c>
      <c r="J40" s="1">
        <v>159</v>
      </c>
      <c r="K40" s="1">
        <v>142</v>
      </c>
      <c r="L40" s="6">
        <v>166</v>
      </c>
      <c r="M40" s="6">
        <v>165</v>
      </c>
      <c r="N40" s="6">
        <v>234</v>
      </c>
      <c r="O40" s="6">
        <v>282</v>
      </c>
      <c r="P40" s="6">
        <v>267</v>
      </c>
      <c r="Q40" s="6">
        <v>244</v>
      </c>
      <c r="R40" s="6">
        <v>283</v>
      </c>
      <c r="S40" s="6">
        <v>334</v>
      </c>
      <c r="T40" s="6">
        <v>251</v>
      </c>
      <c r="U40" s="6">
        <v>233</v>
      </c>
      <c r="V40" s="6">
        <v>215</v>
      </c>
      <c r="W40" s="7"/>
    </row>
    <row r="41" spans="1:23" ht="20" customHeight="1">
      <c r="A41" s="8" t="s">
        <v>50</v>
      </c>
      <c r="B41" s="1">
        <v>200</v>
      </c>
      <c r="C41" s="1">
        <v>216</v>
      </c>
      <c r="D41" s="1">
        <v>230</v>
      </c>
      <c r="E41" s="1">
        <v>252</v>
      </c>
      <c r="F41" s="1">
        <v>243</v>
      </c>
      <c r="G41" s="1">
        <v>224</v>
      </c>
      <c r="H41" s="1">
        <v>205</v>
      </c>
      <c r="I41" s="1">
        <v>170</v>
      </c>
      <c r="J41" s="1">
        <v>175</v>
      </c>
      <c r="K41" s="1">
        <v>123</v>
      </c>
      <c r="L41" s="6">
        <v>158</v>
      </c>
      <c r="M41" s="6">
        <v>189</v>
      </c>
      <c r="N41" s="6">
        <v>206</v>
      </c>
      <c r="O41" s="6">
        <v>276</v>
      </c>
      <c r="P41" s="6">
        <v>304</v>
      </c>
      <c r="Q41" s="6">
        <v>309</v>
      </c>
      <c r="R41" s="6">
        <v>505</v>
      </c>
      <c r="S41" s="6">
        <v>410</v>
      </c>
      <c r="T41" s="6">
        <v>333</v>
      </c>
      <c r="U41" s="6">
        <v>256</v>
      </c>
      <c r="V41" s="6">
        <v>298</v>
      </c>
      <c r="W41" s="7"/>
    </row>
    <row r="42" spans="1:23" ht="20" customHeight="1">
      <c r="A42" s="8" t="s">
        <v>51</v>
      </c>
      <c r="B42" s="1">
        <v>263</v>
      </c>
      <c r="C42" s="1">
        <v>195</v>
      </c>
      <c r="D42" s="1">
        <v>253</v>
      </c>
      <c r="E42" s="1">
        <v>252</v>
      </c>
      <c r="F42" s="1">
        <v>267</v>
      </c>
      <c r="G42" s="1">
        <v>313</v>
      </c>
      <c r="H42" s="1">
        <v>321</v>
      </c>
      <c r="I42" s="1">
        <v>242</v>
      </c>
      <c r="J42" s="1">
        <v>226</v>
      </c>
      <c r="K42" s="1">
        <v>172</v>
      </c>
      <c r="L42" s="6">
        <v>258</v>
      </c>
      <c r="M42" s="6">
        <v>250</v>
      </c>
      <c r="N42" s="6">
        <v>274</v>
      </c>
      <c r="O42" s="6">
        <v>381</v>
      </c>
      <c r="P42" s="6">
        <v>330</v>
      </c>
      <c r="Q42" s="6">
        <v>414</v>
      </c>
      <c r="R42" s="6">
        <v>646</v>
      </c>
      <c r="S42" s="6">
        <v>536</v>
      </c>
      <c r="T42" s="6">
        <v>354</v>
      </c>
      <c r="U42" s="6">
        <v>326</v>
      </c>
      <c r="V42" s="6">
        <v>274</v>
      </c>
      <c r="W42" s="7"/>
    </row>
    <row r="43" spans="1:23" ht="20" customHeight="1">
      <c r="A43" s="8" t="s">
        <v>52</v>
      </c>
      <c r="B43" s="1">
        <v>193</v>
      </c>
      <c r="C43" s="1">
        <v>210</v>
      </c>
      <c r="D43" s="1">
        <v>267</v>
      </c>
      <c r="E43" s="1">
        <v>281</v>
      </c>
      <c r="F43" s="1">
        <v>282</v>
      </c>
      <c r="G43" s="1">
        <v>311</v>
      </c>
      <c r="H43" s="1">
        <v>296</v>
      </c>
      <c r="I43" s="1">
        <v>243</v>
      </c>
      <c r="J43" s="1">
        <v>232</v>
      </c>
      <c r="K43" s="1">
        <v>164</v>
      </c>
      <c r="L43" s="6">
        <v>186</v>
      </c>
      <c r="M43" s="6">
        <v>180</v>
      </c>
      <c r="N43" s="6">
        <v>260</v>
      </c>
      <c r="O43" s="6">
        <v>416</v>
      </c>
      <c r="P43" s="6">
        <v>403</v>
      </c>
      <c r="Q43" s="6">
        <v>448</v>
      </c>
      <c r="R43" s="6">
        <v>653</v>
      </c>
      <c r="S43" s="6">
        <v>540</v>
      </c>
      <c r="T43" s="6">
        <v>355</v>
      </c>
      <c r="U43" s="6">
        <v>316</v>
      </c>
      <c r="V43" s="6">
        <v>269</v>
      </c>
      <c r="W43" s="7"/>
    </row>
    <row r="44" spans="1:23" ht="20" customHeight="1">
      <c r="A44" s="8" t="s">
        <v>53</v>
      </c>
      <c r="B44" s="1">
        <v>269</v>
      </c>
      <c r="C44" s="1">
        <v>180</v>
      </c>
      <c r="D44" s="1">
        <v>187</v>
      </c>
      <c r="E44" s="1">
        <v>220</v>
      </c>
      <c r="F44" s="1">
        <v>185</v>
      </c>
      <c r="G44" s="1">
        <v>243</v>
      </c>
      <c r="H44" s="1">
        <v>258</v>
      </c>
      <c r="I44" s="1">
        <v>169</v>
      </c>
      <c r="J44" s="1">
        <v>149</v>
      </c>
      <c r="K44" s="1">
        <v>119</v>
      </c>
      <c r="L44" s="6">
        <v>131</v>
      </c>
      <c r="M44" s="6">
        <v>161</v>
      </c>
      <c r="N44" s="6">
        <v>192</v>
      </c>
      <c r="O44" s="6">
        <v>337</v>
      </c>
      <c r="P44" s="6">
        <v>305</v>
      </c>
      <c r="Q44" s="6">
        <v>365</v>
      </c>
      <c r="R44" s="6">
        <v>556</v>
      </c>
      <c r="S44" s="6">
        <v>397</v>
      </c>
      <c r="T44" s="6">
        <v>256</v>
      </c>
      <c r="U44" s="6">
        <v>262</v>
      </c>
      <c r="V44" s="6">
        <v>232</v>
      </c>
      <c r="W44" s="7"/>
    </row>
    <row r="45" spans="1:23" ht="20" customHeight="1">
      <c r="A45" s="8" t="s">
        <v>54</v>
      </c>
      <c r="B45" s="1">
        <v>185</v>
      </c>
      <c r="C45" s="1">
        <v>193</v>
      </c>
      <c r="D45" s="1">
        <v>246</v>
      </c>
      <c r="E45" s="1">
        <v>261</v>
      </c>
      <c r="F45" s="1">
        <v>266</v>
      </c>
      <c r="G45" s="1">
        <v>276</v>
      </c>
      <c r="H45" s="1">
        <v>276</v>
      </c>
      <c r="I45" s="1">
        <v>208</v>
      </c>
      <c r="J45" s="1">
        <v>188</v>
      </c>
      <c r="K45" s="1">
        <v>143</v>
      </c>
      <c r="L45" s="6">
        <v>147</v>
      </c>
      <c r="M45" s="6">
        <v>170</v>
      </c>
      <c r="N45" s="6">
        <v>260</v>
      </c>
      <c r="O45" s="6">
        <v>351</v>
      </c>
      <c r="P45" s="6">
        <v>384</v>
      </c>
      <c r="Q45" s="6">
        <v>432</v>
      </c>
      <c r="R45" s="6">
        <v>680</v>
      </c>
      <c r="S45" s="6">
        <v>483</v>
      </c>
      <c r="T45" s="6">
        <v>329</v>
      </c>
      <c r="U45" s="6">
        <v>358</v>
      </c>
      <c r="V45" s="6">
        <v>451</v>
      </c>
      <c r="W45" s="7"/>
    </row>
    <row r="46" spans="1:23" ht="20" customHeight="1">
      <c r="A46" s="8" t="s">
        <v>55</v>
      </c>
      <c r="B46" s="1">
        <v>203</v>
      </c>
      <c r="C46" s="1">
        <v>134</v>
      </c>
      <c r="D46" s="1">
        <v>210</v>
      </c>
      <c r="E46" s="1">
        <v>251</v>
      </c>
      <c r="F46" s="1">
        <v>225</v>
      </c>
      <c r="G46" s="1">
        <v>243</v>
      </c>
      <c r="H46" s="1">
        <v>220</v>
      </c>
      <c r="I46" s="1">
        <v>173</v>
      </c>
      <c r="J46" s="1">
        <v>153</v>
      </c>
      <c r="K46" s="1">
        <v>119</v>
      </c>
      <c r="L46" s="6">
        <v>143</v>
      </c>
      <c r="M46" s="6">
        <v>142</v>
      </c>
      <c r="N46" s="6">
        <v>233</v>
      </c>
      <c r="O46" s="6">
        <v>299</v>
      </c>
      <c r="P46" s="6">
        <v>308</v>
      </c>
      <c r="Q46" s="6">
        <v>435</v>
      </c>
      <c r="R46" s="6">
        <v>546</v>
      </c>
      <c r="S46" s="6">
        <v>461</v>
      </c>
      <c r="T46" s="6">
        <v>308</v>
      </c>
      <c r="U46" s="6">
        <v>190</v>
      </c>
      <c r="V46" s="6">
        <v>201</v>
      </c>
      <c r="W46" s="7"/>
    </row>
    <row r="47" spans="1:23" ht="20" customHeight="1">
      <c r="A47" s="8" t="s">
        <v>56</v>
      </c>
      <c r="B47" s="1">
        <v>234</v>
      </c>
      <c r="C47" s="1">
        <v>261</v>
      </c>
      <c r="D47" s="1">
        <v>327</v>
      </c>
      <c r="E47" s="1">
        <v>289</v>
      </c>
      <c r="F47" s="1">
        <v>293</v>
      </c>
      <c r="G47" s="1">
        <v>353</v>
      </c>
      <c r="H47" s="1">
        <v>308</v>
      </c>
      <c r="I47" s="1">
        <v>240</v>
      </c>
      <c r="J47" s="1">
        <v>242</v>
      </c>
      <c r="K47" s="1">
        <v>225</v>
      </c>
      <c r="L47" s="6">
        <v>227</v>
      </c>
      <c r="M47" s="6">
        <v>244</v>
      </c>
      <c r="N47" s="6">
        <v>296</v>
      </c>
      <c r="O47" s="6">
        <v>374</v>
      </c>
      <c r="P47" s="6">
        <v>384</v>
      </c>
      <c r="Q47" s="6">
        <v>394</v>
      </c>
      <c r="R47" s="6">
        <v>670</v>
      </c>
      <c r="S47" s="6">
        <v>518</v>
      </c>
      <c r="T47" s="6">
        <v>405</v>
      </c>
      <c r="U47" s="6">
        <v>334</v>
      </c>
      <c r="V47" s="6">
        <v>343</v>
      </c>
      <c r="W47" s="7"/>
    </row>
    <row r="48" spans="1:23" ht="20" customHeight="1">
      <c r="A48" s="8" t="s">
        <v>57</v>
      </c>
      <c r="B48" s="1">
        <v>358</v>
      </c>
      <c r="C48" s="1">
        <v>345</v>
      </c>
      <c r="D48" s="1">
        <v>447</v>
      </c>
      <c r="E48" s="1">
        <v>402</v>
      </c>
      <c r="F48" s="1">
        <v>377</v>
      </c>
      <c r="G48" s="1">
        <v>382</v>
      </c>
      <c r="H48" s="1">
        <v>453</v>
      </c>
      <c r="I48" s="1">
        <v>302</v>
      </c>
      <c r="J48" s="1">
        <v>252</v>
      </c>
      <c r="K48" s="1">
        <v>255</v>
      </c>
      <c r="L48" s="6">
        <v>298</v>
      </c>
      <c r="M48" s="6">
        <v>280</v>
      </c>
      <c r="N48" s="6">
        <v>358</v>
      </c>
      <c r="O48" s="6">
        <v>473</v>
      </c>
      <c r="P48" s="6">
        <v>670</v>
      </c>
      <c r="Q48" s="6">
        <v>569</v>
      </c>
      <c r="R48" s="6">
        <v>843</v>
      </c>
      <c r="S48" s="6">
        <v>758</v>
      </c>
      <c r="T48" s="6">
        <v>629</v>
      </c>
      <c r="U48" s="6">
        <v>387</v>
      </c>
      <c r="V48" s="6">
        <v>461</v>
      </c>
      <c r="W48" s="7"/>
    </row>
    <row r="49" spans="1:23" ht="20" customHeight="1">
      <c r="A49" s="8" t="s">
        <v>58</v>
      </c>
      <c r="B49" s="1">
        <v>235</v>
      </c>
      <c r="C49" s="1">
        <v>254</v>
      </c>
      <c r="D49" s="1">
        <v>271</v>
      </c>
      <c r="E49" s="1">
        <v>277</v>
      </c>
      <c r="F49" s="1">
        <v>277</v>
      </c>
      <c r="G49" s="1">
        <v>290</v>
      </c>
      <c r="H49" s="1">
        <v>321</v>
      </c>
      <c r="I49" s="1">
        <v>261</v>
      </c>
      <c r="J49" s="1">
        <v>233</v>
      </c>
      <c r="K49" s="1">
        <v>185</v>
      </c>
      <c r="L49" s="6">
        <v>206</v>
      </c>
      <c r="M49" s="6">
        <v>245</v>
      </c>
      <c r="N49" s="6">
        <v>258</v>
      </c>
      <c r="O49" s="6">
        <v>278</v>
      </c>
      <c r="P49" s="6">
        <v>382</v>
      </c>
      <c r="Q49" s="6">
        <v>383</v>
      </c>
      <c r="R49" s="6">
        <v>544</v>
      </c>
      <c r="S49" s="6">
        <v>628</v>
      </c>
      <c r="T49" s="6">
        <v>411</v>
      </c>
      <c r="U49" s="6">
        <v>322</v>
      </c>
      <c r="V49" s="6">
        <v>319</v>
      </c>
      <c r="W49" s="7"/>
    </row>
    <row r="50" spans="1:23" ht="20" customHeight="1">
      <c r="A50" s="8" t="s">
        <v>59</v>
      </c>
      <c r="B50" s="1">
        <v>232</v>
      </c>
      <c r="C50" s="1">
        <v>235</v>
      </c>
      <c r="D50" s="1">
        <v>360</v>
      </c>
      <c r="E50" s="1">
        <v>267</v>
      </c>
      <c r="F50" s="1">
        <v>358</v>
      </c>
      <c r="G50" s="1">
        <v>297</v>
      </c>
      <c r="H50" s="1">
        <v>277</v>
      </c>
      <c r="I50" s="1">
        <v>204</v>
      </c>
      <c r="J50" s="1">
        <v>208</v>
      </c>
      <c r="K50" s="1">
        <v>177</v>
      </c>
      <c r="L50" s="6">
        <v>190</v>
      </c>
      <c r="M50" s="6">
        <v>163</v>
      </c>
      <c r="N50" s="6">
        <v>254</v>
      </c>
      <c r="O50" s="6">
        <v>346</v>
      </c>
      <c r="P50" s="6">
        <v>382</v>
      </c>
      <c r="Q50" s="6">
        <v>404</v>
      </c>
      <c r="R50" s="6">
        <v>556</v>
      </c>
      <c r="S50" s="6">
        <v>499</v>
      </c>
      <c r="T50" s="6">
        <v>341</v>
      </c>
      <c r="U50" s="6">
        <v>322</v>
      </c>
      <c r="V50" s="6">
        <v>255</v>
      </c>
      <c r="W50" s="7"/>
    </row>
    <row r="51" spans="1:23" ht="20" customHeight="1">
      <c r="A51" s="8" t="s">
        <v>60</v>
      </c>
      <c r="B51" s="1">
        <v>93</v>
      </c>
      <c r="C51" s="1">
        <v>100</v>
      </c>
      <c r="D51" s="1">
        <v>132</v>
      </c>
      <c r="E51" s="1">
        <v>161</v>
      </c>
      <c r="F51" s="1">
        <v>133</v>
      </c>
      <c r="G51" s="1">
        <v>147</v>
      </c>
      <c r="H51" s="1">
        <v>134</v>
      </c>
      <c r="I51" s="1">
        <v>137</v>
      </c>
      <c r="J51" s="1">
        <v>123</v>
      </c>
      <c r="K51" s="1">
        <v>86</v>
      </c>
      <c r="L51" s="6">
        <v>97</v>
      </c>
      <c r="M51" s="6">
        <v>102</v>
      </c>
      <c r="N51" s="6">
        <v>134</v>
      </c>
      <c r="O51" s="6">
        <v>197</v>
      </c>
      <c r="P51" s="6">
        <v>172</v>
      </c>
      <c r="Q51" s="6">
        <v>258</v>
      </c>
      <c r="R51" s="6">
        <v>282</v>
      </c>
      <c r="S51" s="6">
        <v>344</v>
      </c>
      <c r="T51" s="6">
        <v>229</v>
      </c>
      <c r="U51" s="6">
        <v>206</v>
      </c>
      <c r="V51" s="6">
        <v>148</v>
      </c>
      <c r="W51" s="7"/>
    </row>
    <row r="52" spans="1:23" ht="20" customHeight="1">
      <c r="A52" s="8" t="s">
        <v>61</v>
      </c>
      <c r="B52" s="1">
        <v>565</v>
      </c>
      <c r="C52" s="1">
        <v>323</v>
      </c>
      <c r="D52" s="1">
        <v>367</v>
      </c>
      <c r="E52" s="1">
        <v>326</v>
      </c>
      <c r="F52" s="1">
        <v>321</v>
      </c>
      <c r="G52" s="1">
        <v>388</v>
      </c>
      <c r="H52" s="1">
        <v>349</v>
      </c>
      <c r="I52" s="1">
        <v>310</v>
      </c>
      <c r="J52" s="1">
        <v>274</v>
      </c>
      <c r="K52" s="1">
        <v>233</v>
      </c>
      <c r="L52" s="6">
        <v>271</v>
      </c>
      <c r="M52" s="6">
        <v>267</v>
      </c>
      <c r="N52" s="6">
        <v>370</v>
      </c>
      <c r="O52" s="6">
        <v>474</v>
      </c>
      <c r="P52" s="6">
        <v>483</v>
      </c>
      <c r="Q52" s="6">
        <v>570</v>
      </c>
      <c r="R52" s="6">
        <v>527</v>
      </c>
      <c r="S52" s="6">
        <v>571</v>
      </c>
      <c r="T52" s="6">
        <v>448</v>
      </c>
      <c r="U52" s="6">
        <v>429</v>
      </c>
      <c r="V52" s="6">
        <v>345</v>
      </c>
      <c r="W52" s="7"/>
    </row>
    <row r="53" spans="1:23" ht="20" customHeight="1">
      <c r="A53" s="8" t="s">
        <v>62</v>
      </c>
      <c r="B53" s="1">
        <v>84</v>
      </c>
      <c r="C53" s="1">
        <v>51</v>
      </c>
      <c r="D53" s="1">
        <v>87</v>
      </c>
      <c r="E53" s="1">
        <v>104</v>
      </c>
      <c r="F53" s="1">
        <v>75</v>
      </c>
      <c r="G53" s="1">
        <v>85</v>
      </c>
      <c r="H53" s="1">
        <v>103</v>
      </c>
      <c r="I53" s="1">
        <v>90</v>
      </c>
      <c r="J53" s="1">
        <v>76</v>
      </c>
      <c r="K53" s="1">
        <v>70</v>
      </c>
      <c r="L53" s="6">
        <v>71</v>
      </c>
      <c r="M53" s="6">
        <v>57</v>
      </c>
      <c r="N53" s="6">
        <v>82</v>
      </c>
      <c r="O53" s="6">
        <v>113</v>
      </c>
      <c r="P53" s="6">
        <v>131</v>
      </c>
      <c r="Q53" s="6">
        <v>107</v>
      </c>
      <c r="R53" s="6">
        <v>149</v>
      </c>
      <c r="S53" s="6">
        <v>154</v>
      </c>
      <c r="T53" s="6">
        <v>86</v>
      </c>
      <c r="U53" s="6">
        <v>91</v>
      </c>
      <c r="V53" s="6">
        <v>103</v>
      </c>
      <c r="W53" s="7"/>
    </row>
    <row r="54" spans="1:23" ht="20" customHeight="1">
      <c r="A54" s="8" t="s">
        <v>63</v>
      </c>
      <c r="B54" s="1">
        <v>62</v>
      </c>
      <c r="C54" s="1">
        <v>71</v>
      </c>
      <c r="D54" s="1">
        <v>89</v>
      </c>
      <c r="E54" s="1">
        <v>103</v>
      </c>
      <c r="F54" s="1">
        <v>101</v>
      </c>
      <c r="G54" s="1">
        <v>97</v>
      </c>
      <c r="H54" s="1">
        <v>92</v>
      </c>
      <c r="I54" s="1">
        <v>75</v>
      </c>
      <c r="J54" s="1">
        <v>90</v>
      </c>
      <c r="K54" s="1">
        <v>72</v>
      </c>
      <c r="L54" s="6">
        <v>72</v>
      </c>
      <c r="M54" s="6">
        <v>69</v>
      </c>
      <c r="N54" s="6">
        <v>92</v>
      </c>
      <c r="O54" s="6">
        <v>93</v>
      </c>
      <c r="P54" s="6">
        <v>123</v>
      </c>
      <c r="Q54" s="6">
        <v>95</v>
      </c>
      <c r="R54" s="6">
        <v>193</v>
      </c>
      <c r="S54" s="6">
        <v>134</v>
      </c>
      <c r="T54" s="6">
        <v>100</v>
      </c>
      <c r="U54" s="6">
        <v>113</v>
      </c>
      <c r="V54" s="6">
        <v>121</v>
      </c>
      <c r="W54" s="7"/>
    </row>
    <row r="55" spans="1:23" ht="20" customHeight="1">
      <c r="A55" s="8" t="s">
        <v>64</v>
      </c>
      <c r="B55" s="1">
        <v>219</v>
      </c>
      <c r="C55" s="1">
        <v>157</v>
      </c>
      <c r="D55" s="1">
        <v>252</v>
      </c>
      <c r="E55" s="1">
        <v>251</v>
      </c>
      <c r="F55" s="1">
        <v>199</v>
      </c>
      <c r="G55" s="1">
        <v>181</v>
      </c>
      <c r="H55" s="1">
        <v>196</v>
      </c>
      <c r="I55" s="1">
        <v>207</v>
      </c>
      <c r="J55" s="1">
        <v>193</v>
      </c>
      <c r="K55" s="1">
        <v>141</v>
      </c>
      <c r="L55" s="6">
        <v>162</v>
      </c>
      <c r="M55" s="6">
        <v>137</v>
      </c>
      <c r="N55" s="6">
        <v>239</v>
      </c>
      <c r="O55" s="6">
        <v>304</v>
      </c>
      <c r="P55" s="6">
        <v>313</v>
      </c>
      <c r="Q55" s="6">
        <v>288</v>
      </c>
      <c r="R55" s="6">
        <v>412</v>
      </c>
      <c r="S55" s="6">
        <v>368</v>
      </c>
      <c r="T55" s="6">
        <v>300</v>
      </c>
      <c r="U55" s="6">
        <v>371</v>
      </c>
      <c r="V55" s="6">
        <v>254</v>
      </c>
      <c r="W55" s="7"/>
    </row>
    <row r="56" spans="1:23" ht="20" customHeight="1">
      <c r="A56" s="8" t="s">
        <v>65</v>
      </c>
      <c r="B56" s="1">
        <v>320</v>
      </c>
      <c r="C56" s="1">
        <v>288</v>
      </c>
      <c r="D56" s="1">
        <v>405</v>
      </c>
      <c r="E56" s="1">
        <v>317</v>
      </c>
      <c r="F56" s="1">
        <v>276</v>
      </c>
      <c r="G56" s="1">
        <v>312</v>
      </c>
      <c r="H56" s="1">
        <v>283</v>
      </c>
      <c r="I56" s="1">
        <v>338</v>
      </c>
      <c r="J56" s="1">
        <v>279</v>
      </c>
      <c r="K56" s="1">
        <v>219</v>
      </c>
      <c r="L56" s="6">
        <v>268</v>
      </c>
      <c r="M56" s="6">
        <v>336</v>
      </c>
      <c r="N56" s="6">
        <v>381</v>
      </c>
      <c r="O56" s="6">
        <v>449</v>
      </c>
      <c r="P56" s="6">
        <v>456</v>
      </c>
      <c r="Q56" s="6">
        <v>389</v>
      </c>
      <c r="R56" s="6">
        <v>450</v>
      </c>
      <c r="S56" s="6">
        <v>444</v>
      </c>
      <c r="T56" s="6">
        <v>329</v>
      </c>
      <c r="U56" s="6">
        <v>375</v>
      </c>
      <c r="V56" s="6">
        <v>303</v>
      </c>
      <c r="W56" s="7"/>
    </row>
    <row r="57" spans="1:23" ht="20" customHeight="1">
      <c r="A57" s="8" t="s">
        <v>66</v>
      </c>
      <c r="B57" s="1">
        <v>642</v>
      </c>
      <c r="C57" s="1">
        <v>617</v>
      </c>
      <c r="D57" s="1">
        <v>772</v>
      </c>
      <c r="E57" s="1">
        <v>575</v>
      </c>
      <c r="F57" s="1">
        <v>520</v>
      </c>
      <c r="G57" s="1">
        <v>527</v>
      </c>
      <c r="H57" s="1">
        <v>515</v>
      </c>
      <c r="I57" s="1">
        <v>485</v>
      </c>
      <c r="J57" s="1">
        <v>457</v>
      </c>
      <c r="K57" s="1">
        <v>403</v>
      </c>
      <c r="L57" s="6">
        <v>426</v>
      </c>
      <c r="M57" s="6">
        <v>429</v>
      </c>
      <c r="N57" s="6">
        <v>565</v>
      </c>
      <c r="O57" s="6">
        <v>635</v>
      </c>
      <c r="P57" s="6">
        <v>717</v>
      </c>
      <c r="Q57" s="6">
        <v>713</v>
      </c>
      <c r="R57" s="6">
        <v>821</v>
      </c>
      <c r="S57" s="6">
        <v>680</v>
      </c>
      <c r="T57" s="6">
        <v>534</v>
      </c>
      <c r="U57" s="6">
        <v>555</v>
      </c>
      <c r="V57" s="6">
        <v>551</v>
      </c>
      <c r="W57" s="7"/>
    </row>
    <row r="58" spans="1:23" ht="20" customHeight="1">
      <c r="A58" s="8" t="s">
        <v>67</v>
      </c>
      <c r="B58" s="1">
        <v>462</v>
      </c>
      <c r="C58" s="1">
        <v>412</v>
      </c>
      <c r="D58" s="1">
        <v>607</v>
      </c>
      <c r="E58" s="1">
        <v>420</v>
      </c>
      <c r="F58" s="1">
        <v>464</v>
      </c>
      <c r="G58" s="1">
        <v>429</v>
      </c>
      <c r="H58" s="1">
        <v>376</v>
      </c>
      <c r="I58" s="1">
        <v>360</v>
      </c>
      <c r="J58" s="1">
        <v>438</v>
      </c>
      <c r="K58" s="1">
        <v>370</v>
      </c>
      <c r="L58" s="6">
        <v>472</v>
      </c>
      <c r="M58" s="6">
        <v>325</v>
      </c>
      <c r="N58" s="6">
        <v>434</v>
      </c>
      <c r="O58" s="6">
        <v>566</v>
      </c>
      <c r="P58" s="6">
        <v>551</v>
      </c>
      <c r="Q58" s="6">
        <v>550</v>
      </c>
      <c r="R58" s="6">
        <v>503</v>
      </c>
      <c r="S58" s="6">
        <v>524</v>
      </c>
      <c r="T58" s="6">
        <v>434</v>
      </c>
      <c r="U58" s="6">
        <v>531</v>
      </c>
      <c r="V58" s="6">
        <v>491</v>
      </c>
      <c r="W58" s="7"/>
    </row>
    <row r="59" spans="1:23" ht="20" customHeight="1">
      <c r="A59" s="8" t="s">
        <v>68</v>
      </c>
      <c r="B59" s="1">
        <v>554</v>
      </c>
      <c r="C59" s="1">
        <v>507</v>
      </c>
      <c r="D59" s="1">
        <v>535</v>
      </c>
      <c r="E59" s="1">
        <v>601</v>
      </c>
      <c r="F59" s="1">
        <v>473</v>
      </c>
      <c r="G59" s="1">
        <v>533</v>
      </c>
      <c r="H59" s="1">
        <v>481</v>
      </c>
      <c r="I59" s="1">
        <v>491</v>
      </c>
      <c r="J59" s="1">
        <v>422</v>
      </c>
      <c r="K59" s="1">
        <v>403</v>
      </c>
      <c r="L59" s="6">
        <v>446</v>
      </c>
      <c r="M59" s="6">
        <v>468</v>
      </c>
      <c r="N59" s="6">
        <v>562</v>
      </c>
      <c r="O59" s="6">
        <v>669</v>
      </c>
      <c r="P59" s="6">
        <v>641</v>
      </c>
      <c r="Q59" s="6">
        <v>585</v>
      </c>
      <c r="R59" s="6">
        <v>766</v>
      </c>
      <c r="S59" s="6">
        <v>635</v>
      </c>
      <c r="T59" s="6">
        <v>486</v>
      </c>
      <c r="U59" s="6">
        <v>573</v>
      </c>
      <c r="V59" s="6">
        <v>518</v>
      </c>
      <c r="W59" s="7"/>
    </row>
    <row r="60" spans="1:23" ht="20" customHeight="1">
      <c r="A60" s="8" t="s">
        <v>69</v>
      </c>
      <c r="B60" s="1">
        <v>936</v>
      </c>
      <c r="C60" s="1">
        <v>740</v>
      </c>
      <c r="D60" s="1">
        <v>891</v>
      </c>
      <c r="E60" s="1">
        <v>774</v>
      </c>
      <c r="F60" s="1">
        <v>760</v>
      </c>
      <c r="G60" s="1">
        <v>773</v>
      </c>
      <c r="H60" s="1">
        <v>835</v>
      </c>
      <c r="I60" s="1">
        <v>808</v>
      </c>
      <c r="J60" s="1">
        <v>612</v>
      </c>
      <c r="K60" s="1">
        <v>557</v>
      </c>
      <c r="L60" s="6">
        <v>598</v>
      </c>
      <c r="M60" s="6">
        <v>602</v>
      </c>
      <c r="N60" s="6">
        <v>723</v>
      </c>
      <c r="O60" s="6">
        <v>914</v>
      </c>
      <c r="P60" s="6">
        <v>853</v>
      </c>
      <c r="Q60" s="6">
        <v>966</v>
      </c>
      <c r="R60" s="6">
        <v>1020</v>
      </c>
      <c r="S60" s="6">
        <v>877</v>
      </c>
      <c r="T60" s="6">
        <v>693</v>
      </c>
      <c r="U60" s="6">
        <v>742</v>
      </c>
      <c r="V60" s="6">
        <v>579</v>
      </c>
      <c r="W60" s="7"/>
    </row>
    <row r="61" spans="1:23" ht="20" customHeight="1">
      <c r="A61" s="8" t="s">
        <v>70</v>
      </c>
      <c r="B61" s="1">
        <v>571</v>
      </c>
      <c r="C61" s="1">
        <v>477</v>
      </c>
      <c r="D61" s="1">
        <v>521</v>
      </c>
      <c r="E61" s="1">
        <v>520</v>
      </c>
      <c r="F61" s="1">
        <v>472</v>
      </c>
      <c r="G61" s="1">
        <v>425</v>
      </c>
      <c r="H61" s="1">
        <v>440</v>
      </c>
      <c r="I61" s="1">
        <v>359</v>
      </c>
      <c r="J61" s="1">
        <v>275</v>
      </c>
      <c r="K61" s="1">
        <v>211</v>
      </c>
      <c r="L61" s="6">
        <v>341</v>
      </c>
      <c r="M61" s="6">
        <v>340</v>
      </c>
      <c r="N61" s="6">
        <v>487</v>
      </c>
      <c r="O61" s="6">
        <v>529</v>
      </c>
      <c r="P61" s="6">
        <v>517</v>
      </c>
      <c r="Q61" s="6">
        <v>519</v>
      </c>
      <c r="R61" s="6">
        <v>683</v>
      </c>
      <c r="S61" s="6">
        <v>594</v>
      </c>
      <c r="T61" s="6">
        <v>425</v>
      </c>
      <c r="U61" s="6">
        <v>383</v>
      </c>
      <c r="V61" s="6">
        <v>351</v>
      </c>
      <c r="W61" s="7"/>
    </row>
    <row r="62" spans="1:23" ht="20" customHeight="1">
      <c r="A62" s="8" t="s">
        <v>71</v>
      </c>
      <c r="B62" s="1">
        <v>205</v>
      </c>
      <c r="C62" s="1">
        <v>201</v>
      </c>
      <c r="D62" s="1">
        <v>251</v>
      </c>
      <c r="E62" s="1">
        <v>260</v>
      </c>
      <c r="F62" s="1">
        <v>207</v>
      </c>
      <c r="G62" s="1">
        <v>198</v>
      </c>
      <c r="H62" s="1">
        <v>165</v>
      </c>
      <c r="I62" s="1">
        <v>189</v>
      </c>
      <c r="J62" s="1">
        <v>167</v>
      </c>
      <c r="K62" s="1">
        <v>175</v>
      </c>
      <c r="L62" s="6">
        <v>130</v>
      </c>
      <c r="M62" s="6">
        <v>162</v>
      </c>
      <c r="N62" s="6">
        <v>187</v>
      </c>
      <c r="O62" s="6">
        <v>213</v>
      </c>
      <c r="P62" s="6">
        <v>180</v>
      </c>
      <c r="Q62" s="6">
        <v>180</v>
      </c>
      <c r="R62" s="6">
        <v>257</v>
      </c>
      <c r="S62" s="6">
        <v>211</v>
      </c>
      <c r="T62" s="6">
        <v>216</v>
      </c>
      <c r="U62" s="6">
        <v>201</v>
      </c>
      <c r="V62" s="6">
        <v>152</v>
      </c>
      <c r="W62" s="7"/>
    </row>
  </sheetData>
  <autoFilter ref="B1:K62" xr:uid="{00000000-0001-0000-0000-000000000000}"/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08BC9-0AF3-E547-98EB-C6C1ECEFA08C}">
  <dimension ref="A1:W62"/>
  <sheetViews>
    <sheetView zoomScale="89" zoomScaleNormal="89" workbookViewId="0">
      <selection sqref="A1:XFD1"/>
    </sheetView>
  </sheetViews>
  <sheetFormatPr baseColWidth="10" defaultColWidth="20.83203125" defaultRowHeight="17"/>
  <cols>
    <col min="1" max="1" width="22.33203125" style="10" customWidth="1"/>
    <col min="12" max="23" width="20.83203125" style="2"/>
  </cols>
  <sheetData>
    <row r="1" spans="1:23" s="13" customFormat="1" ht="20" customHeight="1">
      <c r="A1" s="11" t="s">
        <v>1</v>
      </c>
      <c r="B1" s="12" t="s">
        <v>2</v>
      </c>
      <c r="C1" s="12" t="s">
        <v>3</v>
      </c>
      <c r="D1" s="12" t="s">
        <v>4</v>
      </c>
      <c r="E1" s="12" t="s">
        <v>5</v>
      </c>
      <c r="F1" s="12" t="s">
        <v>6</v>
      </c>
      <c r="G1" s="12" t="s">
        <v>7</v>
      </c>
      <c r="H1" s="12" t="s">
        <v>8</v>
      </c>
      <c r="I1" s="12" t="s">
        <v>9</v>
      </c>
      <c r="J1" s="12" t="s">
        <v>10</v>
      </c>
      <c r="K1" s="12" t="s">
        <v>11</v>
      </c>
      <c r="L1" s="12" t="s">
        <v>73</v>
      </c>
      <c r="M1" s="12" t="s">
        <v>74</v>
      </c>
      <c r="N1" s="12" t="s">
        <v>75</v>
      </c>
      <c r="O1" s="12" t="s">
        <v>76</v>
      </c>
      <c r="P1" s="12" t="s">
        <v>77</v>
      </c>
      <c r="Q1" s="12" t="s">
        <v>78</v>
      </c>
      <c r="R1" s="12" t="s">
        <v>79</v>
      </c>
      <c r="S1" s="12" t="s">
        <v>80</v>
      </c>
      <c r="T1" s="12" t="s">
        <v>81</v>
      </c>
      <c r="U1" s="12" t="s">
        <v>82</v>
      </c>
      <c r="V1" s="12" t="s">
        <v>83</v>
      </c>
      <c r="W1" s="12" t="s">
        <v>84</v>
      </c>
    </row>
    <row r="2" spans="1:23" ht="20" customHeight="1">
      <c r="A2" s="8" t="s">
        <v>12</v>
      </c>
      <c r="B2" s="1">
        <v>550</v>
      </c>
      <c r="C2" s="1">
        <v>435</v>
      </c>
      <c r="D2" s="1">
        <v>470</v>
      </c>
      <c r="E2" s="1">
        <v>402</v>
      </c>
      <c r="F2" s="1">
        <v>426</v>
      </c>
      <c r="G2" s="1">
        <v>590</v>
      </c>
      <c r="H2" s="1">
        <v>729</v>
      </c>
      <c r="I2" s="1">
        <v>762</v>
      </c>
      <c r="J2" s="1">
        <v>634</v>
      </c>
      <c r="K2" s="1">
        <v>730</v>
      </c>
      <c r="L2" s="6">
        <v>676</v>
      </c>
      <c r="M2" s="6">
        <v>634</v>
      </c>
      <c r="N2" s="6">
        <v>657</v>
      </c>
      <c r="O2" s="6">
        <v>571</v>
      </c>
      <c r="P2" s="6">
        <v>546</v>
      </c>
      <c r="Q2" s="6">
        <v>464</v>
      </c>
      <c r="R2" s="6">
        <v>530</v>
      </c>
      <c r="S2" s="6">
        <v>570</v>
      </c>
      <c r="T2" s="6">
        <v>506</v>
      </c>
      <c r="U2" s="6">
        <v>535</v>
      </c>
      <c r="V2" s="6">
        <v>464</v>
      </c>
      <c r="W2" s="6">
        <v>546</v>
      </c>
    </row>
    <row r="3" spans="1:23" ht="20" customHeight="1">
      <c r="A3" s="8" t="s">
        <v>13</v>
      </c>
      <c r="B3" s="1">
        <v>12263</v>
      </c>
      <c r="C3" s="1">
        <v>9878</v>
      </c>
      <c r="D3" s="1">
        <v>10330</v>
      </c>
      <c r="E3" s="1">
        <v>9396</v>
      </c>
      <c r="F3" s="1">
        <v>9292</v>
      </c>
      <c r="G3" s="1">
        <v>11141</v>
      </c>
      <c r="H3" s="1">
        <v>9427</v>
      </c>
      <c r="I3" s="1">
        <v>10903</v>
      </c>
      <c r="J3" s="1">
        <v>10115</v>
      </c>
      <c r="K3" s="1">
        <v>10297</v>
      </c>
      <c r="L3" s="6">
        <v>11009</v>
      </c>
      <c r="M3" s="6">
        <v>12190</v>
      </c>
      <c r="N3" s="6">
        <v>10586</v>
      </c>
      <c r="O3" s="6">
        <v>11645</v>
      </c>
      <c r="P3" s="6">
        <v>11495</v>
      </c>
      <c r="Q3" s="6">
        <v>9942</v>
      </c>
      <c r="R3" s="6">
        <v>10276</v>
      </c>
      <c r="S3" s="6">
        <v>10136</v>
      </c>
      <c r="T3" s="6">
        <v>10369</v>
      </c>
      <c r="U3" s="6">
        <v>11356</v>
      </c>
      <c r="V3" s="6">
        <v>9289</v>
      </c>
      <c r="W3" s="6">
        <v>9918</v>
      </c>
    </row>
    <row r="4" spans="1:23" ht="20" customHeight="1">
      <c r="A4" s="8" t="s">
        <v>14</v>
      </c>
      <c r="B4" s="1">
        <v>1031</v>
      </c>
      <c r="C4" s="1">
        <v>976</v>
      </c>
      <c r="D4" s="1">
        <v>1560</v>
      </c>
      <c r="E4" s="1">
        <v>1614</v>
      </c>
      <c r="F4" s="1">
        <v>2476</v>
      </c>
      <c r="G4" s="1">
        <v>1738</v>
      </c>
      <c r="H4" s="1">
        <v>921</v>
      </c>
      <c r="I4" s="1">
        <v>803</v>
      </c>
      <c r="J4" s="1">
        <v>895</v>
      </c>
      <c r="K4" s="1">
        <v>959</v>
      </c>
      <c r="L4" s="6">
        <v>1031</v>
      </c>
      <c r="M4" s="6">
        <v>2182</v>
      </c>
      <c r="N4" s="6">
        <v>2245</v>
      </c>
      <c r="O4" s="6">
        <v>1448</v>
      </c>
      <c r="P4" s="6">
        <v>2053</v>
      </c>
      <c r="Q4" s="6">
        <v>1492</v>
      </c>
      <c r="R4" s="6">
        <v>1147</v>
      </c>
      <c r="S4" s="6">
        <v>1134</v>
      </c>
      <c r="T4" s="6">
        <v>887</v>
      </c>
      <c r="U4" s="6">
        <v>1033</v>
      </c>
      <c r="V4" s="6">
        <v>965</v>
      </c>
      <c r="W4" s="6">
        <v>959</v>
      </c>
    </row>
    <row r="5" spans="1:23" ht="20" customHeight="1">
      <c r="A5" s="8" t="s">
        <v>15</v>
      </c>
      <c r="B5" s="1">
        <v>2945</v>
      </c>
      <c r="C5" s="1">
        <v>2305</v>
      </c>
      <c r="D5" s="1">
        <v>2630</v>
      </c>
      <c r="E5" s="1">
        <v>2388</v>
      </c>
      <c r="F5" s="1">
        <v>2093</v>
      </c>
      <c r="G5" s="1">
        <v>1962</v>
      </c>
      <c r="H5" s="1">
        <v>1921</v>
      </c>
      <c r="I5" s="1">
        <v>3576</v>
      </c>
      <c r="J5" s="1">
        <v>2874</v>
      </c>
      <c r="K5" s="1">
        <v>2247</v>
      </c>
      <c r="L5" s="6">
        <v>2407</v>
      </c>
      <c r="M5" s="6">
        <v>2372</v>
      </c>
      <c r="N5" s="6">
        <v>2137</v>
      </c>
      <c r="O5" s="6">
        <v>2165</v>
      </c>
      <c r="P5" s="6">
        <v>2023</v>
      </c>
      <c r="Q5" s="6">
        <v>1764</v>
      </c>
      <c r="R5" s="6">
        <v>2064</v>
      </c>
      <c r="S5" s="6">
        <v>2109</v>
      </c>
      <c r="T5" s="6">
        <v>1999</v>
      </c>
      <c r="U5" s="6">
        <v>2295</v>
      </c>
      <c r="V5" s="6">
        <v>3185</v>
      </c>
      <c r="W5" s="6">
        <v>3000</v>
      </c>
    </row>
    <row r="6" spans="1:23" ht="20" customHeight="1">
      <c r="A6" s="8" t="s">
        <v>0</v>
      </c>
      <c r="B6" s="1">
        <v>3695</v>
      </c>
      <c r="C6" s="1">
        <v>2921</v>
      </c>
      <c r="D6" s="1">
        <v>3988</v>
      </c>
      <c r="E6" s="1">
        <v>4189</v>
      </c>
      <c r="F6" s="1">
        <v>3644</v>
      </c>
      <c r="G6" s="1">
        <v>3566</v>
      </c>
      <c r="H6" s="1">
        <v>3013</v>
      </c>
      <c r="I6" s="1">
        <v>3207</v>
      </c>
      <c r="J6" s="1">
        <v>3026</v>
      </c>
      <c r="K6" s="1">
        <v>2993</v>
      </c>
      <c r="L6" s="6">
        <v>5383</v>
      </c>
      <c r="M6" s="6">
        <v>4652</v>
      </c>
      <c r="N6" s="6">
        <v>4424</v>
      </c>
      <c r="O6" s="6">
        <v>4523</v>
      </c>
      <c r="P6" s="6">
        <v>3718</v>
      </c>
      <c r="Q6" s="6">
        <v>3368</v>
      </c>
      <c r="R6" s="6">
        <v>5471</v>
      </c>
      <c r="S6" s="6">
        <v>4870</v>
      </c>
      <c r="T6" s="6">
        <v>5256</v>
      </c>
      <c r="U6" s="6">
        <v>5524</v>
      </c>
      <c r="V6" s="6">
        <v>4033</v>
      </c>
      <c r="W6" s="6">
        <v>3704</v>
      </c>
    </row>
    <row r="7" spans="1:23" ht="20" customHeight="1">
      <c r="A7" s="8" t="s">
        <v>16</v>
      </c>
      <c r="B7" s="1">
        <v>2162</v>
      </c>
      <c r="C7" s="1">
        <v>1644</v>
      </c>
      <c r="D7" s="1">
        <v>1666</v>
      </c>
      <c r="E7" s="1">
        <v>1441</v>
      </c>
      <c r="F7" s="1">
        <v>1401</v>
      </c>
      <c r="G7" s="1">
        <v>1539</v>
      </c>
      <c r="H7" s="1">
        <v>1371</v>
      </c>
      <c r="I7" s="1">
        <v>1697</v>
      </c>
      <c r="J7" s="1">
        <v>1462</v>
      </c>
      <c r="K7" s="1">
        <v>1558</v>
      </c>
      <c r="L7" s="6">
        <v>1504</v>
      </c>
      <c r="M7" s="6">
        <v>1717</v>
      </c>
      <c r="N7" s="6">
        <v>1600</v>
      </c>
      <c r="O7" s="6">
        <v>1765</v>
      </c>
      <c r="P7" s="6">
        <v>1527</v>
      </c>
      <c r="Q7" s="6">
        <v>1993</v>
      </c>
      <c r="R7" s="6">
        <v>2152</v>
      </c>
      <c r="S7" s="6">
        <v>1717</v>
      </c>
      <c r="T7" s="6">
        <v>1686</v>
      </c>
      <c r="U7" s="6">
        <v>1948</v>
      </c>
      <c r="V7" s="6">
        <v>1511</v>
      </c>
      <c r="W7" s="6">
        <v>1693</v>
      </c>
    </row>
    <row r="8" spans="1:23" ht="20" customHeight="1">
      <c r="A8" s="8" t="s">
        <v>17</v>
      </c>
      <c r="B8" s="1">
        <v>2179</v>
      </c>
      <c r="C8" s="1">
        <v>1772</v>
      </c>
      <c r="D8" s="1">
        <v>2110</v>
      </c>
      <c r="E8" s="1">
        <v>1870</v>
      </c>
      <c r="F8" s="1">
        <v>1817</v>
      </c>
      <c r="G8" s="1">
        <v>2004</v>
      </c>
      <c r="H8" s="1">
        <v>1815</v>
      </c>
      <c r="I8" s="1">
        <v>1985</v>
      </c>
      <c r="J8" s="1">
        <v>2003</v>
      </c>
      <c r="K8" s="1">
        <v>2071</v>
      </c>
      <c r="L8" s="6">
        <v>2224</v>
      </c>
      <c r="M8" s="6">
        <v>2226</v>
      </c>
      <c r="N8" s="6">
        <v>2225</v>
      </c>
      <c r="O8" s="6">
        <v>2261</v>
      </c>
      <c r="P8" s="6">
        <v>2265</v>
      </c>
      <c r="Q8" s="6">
        <v>1751</v>
      </c>
      <c r="R8" s="6">
        <v>1970</v>
      </c>
      <c r="S8" s="6">
        <v>2140</v>
      </c>
      <c r="T8" s="6">
        <v>1949</v>
      </c>
      <c r="U8" s="6">
        <v>2037</v>
      </c>
      <c r="V8" s="6">
        <v>1756</v>
      </c>
      <c r="W8" s="6">
        <v>1893</v>
      </c>
    </row>
    <row r="9" spans="1:23" ht="20" customHeight="1">
      <c r="A9" s="8" t="s">
        <v>18</v>
      </c>
      <c r="B9" s="1">
        <v>4831</v>
      </c>
      <c r="C9" s="1">
        <v>4128</v>
      </c>
      <c r="D9" s="1">
        <v>5165</v>
      </c>
      <c r="E9" s="1">
        <v>4983</v>
      </c>
      <c r="F9" s="1">
        <v>4762</v>
      </c>
      <c r="G9" s="1">
        <v>4886</v>
      </c>
      <c r="H9" s="1">
        <v>4149</v>
      </c>
      <c r="I9" s="1">
        <v>4680</v>
      </c>
      <c r="J9" s="1">
        <v>4213</v>
      </c>
      <c r="K9" s="1">
        <v>4219</v>
      </c>
      <c r="L9" s="6">
        <v>4767</v>
      </c>
      <c r="M9" s="6">
        <v>5224</v>
      </c>
      <c r="N9" s="6">
        <v>4671</v>
      </c>
      <c r="O9" s="6">
        <v>4590</v>
      </c>
      <c r="P9" s="6">
        <v>4473</v>
      </c>
      <c r="Q9" s="6">
        <v>3977</v>
      </c>
      <c r="R9" s="6">
        <v>4572</v>
      </c>
      <c r="S9" s="6">
        <v>4802</v>
      </c>
      <c r="T9" s="6">
        <v>4021</v>
      </c>
      <c r="U9" s="6">
        <v>4998</v>
      </c>
      <c r="V9" s="6">
        <v>4130</v>
      </c>
      <c r="W9" s="6">
        <v>4459</v>
      </c>
    </row>
    <row r="10" spans="1:23" ht="20" customHeight="1">
      <c r="A10" s="8" t="s">
        <v>19</v>
      </c>
      <c r="B10" s="1">
        <v>5856</v>
      </c>
      <c r="C10" s="1">
        <v>5197</v>
      </c>
      <c r="D10" s="1">
        <v>5453</v>
      </c>
      <c r="E10" s="1">
        <v>5223</v>
      </c>
      <c r="F10" s="1">
        <v>4774</v>
      </c>
      <c r="G10" s="1">
        <v>5513</v>
      </c>
      <c r="H10" s="1">
        <v>4428</v>
      </c>
      <c r="I10" s="1">
        <v>5934</v>
      </c>
      <c r="J10" s="1">
        <v>6028</v>
      </c>
      <c r="K10" s="1">
        <v>6103</v>
      </c>
      <c r="L10" s="6">
        <v>6793</v>
      </c>
      <c r="M10" s="6">
        <v>6958</v>
      </c>
      <c r="N10" s="6">
        <v>7023</v>
      </c>
      <c r="O10" s="6">
        <v>6864</v>
      </c>
      <c r="P10" s="6">
        <v>5928</v>
      </c>
      <c r="Q10" s="6">
        <v>5038</v>
      </c>
      <c r="R10" s="6">
        <v>5687</v>
      </c>
      <c r="S10" s="6">
        <v>5442</v>
      </c>
      <c r="T10" s="6">
        <v>5064</v>
      </c>
      <c r="U10" s="6">
        <v>6195</v>
      </c>
      <c r="V10" s="6">
        <v>5144</v>
      </c>
      <c r="W10" s="6">
        <v>5365</v>
      </c>
    </row>
    <row r="11" spans="1:23" ht="20" customHeight="1">
      <c r="A11" s="8" t="s">
        <v>20</v>
      </c>
      <c r="B11" s="1">
        <v>860</v>
      </c>
      <c r="C11" s="1">
        <v>755</v>
      </c>
      <c r="D11" s="1">
        <v>826</v>
      </c>
      <c r="E11" s="1">
        <v>722</v>
      </c>
      <c r="F11" s="1">
        <v>725</v>
      </c>
      <c r="G11" s="1">
        <v>853</v>
      </c>
      <c r="H11" s="1">
        <v>684</v>
      </c>
      <c r="I11" s="1">
        <v>815</v>
      </c>
      <c r="J11" s="1">
        <v>1067</v>
      </c>
      <c r="K11" s="1">
        <v>899</v>
      </c>
      <c r="L11" s="6">
        <v>849</v>
      </c>
      <c r="M11" s="6">
        <v>853</v>
      </c>
      <c r="N11" s="6">
        <v>848</v>
      </c>
      <c r="O11" s="6">
        <v>906</v>
      </c>
      <c r="P11" s="6">
        <v>832</v>
      </c>
      <c r="Q11" s="6">
        <v>721</v>
      </c>
      <c r="R11" s="6">
        <v>855</v>
      </c>
      <c r="S11" s="6">
        <v>767</v>
      </c>
      <c r="T11" s="6">
        <v>673</v>
      </c>
      <c r="U11" s="6">
        <v>837</v>
      </c>
      <c r="V11" s="6">
        <v>784</v>
      </c>
      <c r="W11" s="6">
        <v>804</v>
      </c>
    </row>
    <row r="12" spans="1:23" ht="20" customHeight="1">
      <c r="A12" s="8" t="s">
        <v>21</v>
      </c>
      <c r="B12" s="1">
        <v>9112</v>
      </c>
      <c r="C12" s="1">
        <v>7402</v>
      </c>
      <c r="D12" s="1">
        <v>6473</v>
      </c>
      <c r="E12" s="1">
        <v>5575</v>
      </c>
      <c r="F12" s="1">
        <v>5032</v>
      </c>
      <c r="G12" s="1">
        <v>5481</v>
      </c>
      <c r="H12" s="1">
        <v>5108</v>
      </c>
      <c r="I12" s="1">
        <v>5770</v>
      </c>
      <c r="J12" s="1">
        <v>5219</v>
      </c>
      <c r="K12" s="1">
        <v>5085</v>
      </c>
      <c r="L12" s="6">
        <v>6515</v>
      </c>
      <c r="M12" s="6">
        <v>6745</v>
      </c>
      <c r="N12" s="6">
        <v>6429</v>
      </c>
      <c r="O12" s="6">
        <v>6860</v>
      </c>
      <c r="P12" s="6">
        <v>7043</v>
      </c>
      <c r="Q12" s="6">
        <v>5828</v>
      </c>
      <c r="R12" s="6">
        <v>6465</v>
      </c>
      <c r="S12" s="6">
        <v>6824</v>
      </c>
      <c r="T12" s="6">
        <v>6091</v>
      </c>
      <c r="U12" s="6">
        <v>6594</v>
      </c>
      <c r="V12" s="6">
        <v>6213</v>
      </c>
      <c r="W12" s="6">
        <v>6690</v>
      </c>
    </row>
    <row r="13" spans="1:23" ht="20" customHeight="1">
      <c r="A13" s="8" t="s">
        <v>22</v>
      </c>
      <c r="B13" s="1">
        <v>10820</v>
      </c>
      <c r="C13" s="1">
        <v>9356</v>
      </c>
      <c r="D13" s="1">
        <v>9823</v>
      </c>
      <c r="E13" s="1">
        <v>9211</v>
      </c>
      <c r="F13" s="1">
        <v>9445</v>
      </c>
      <c r="G13" s="1">
        <v>9942</v>
      </c>
      <c r="H13" s="1">
        <v>8239</v>
      </c>
      <c r="I13" s="1">
        <v>8829</v>
      </c>
      <c r="J13" s="1">
        <v>13847</v>
      </c>
      <c r="K13" s="1">
        <v>12837</v>
      </c>
      <c r="L13" s="6">
        <v>11642</v>
      </c>
      <c r="M13" s="6">
        <v>12161</v>
      </c>
      <c r="N13" s="6">
        <v>9774</v>
      </c>
      <c r="O13" s="6">
        <v>8918</v>
      </c>
      <c r="P13" s="6">
        <v>8195</v>
      </c>
      <c r="Q13" s="6">
        <v>7465</v>
      </c>
      <c r="R13" s="6">
        <v>9105</v>
      </c>
      <c r="S13" s="6">
        <v>8703</v>
      </c>
      <c r="T13" s="6">
        <v>7917</v>
      </c>
      <c r="U13" s="6">
        <v>10453</v>
      </c>
      <c r="V13" s="6">
        <v>8675</v>
      </c>
      <c r="W13" s="6">
        <v>9682</v>
      </c>
    </row>
    <row r="14" spans="1:23" ht="20" customHeight="1">
      <c r="A14" s="8" t="s">
        <v>23</v>
      </c>
      <c r="B14" s="1">
        <v>12896</v>
      </c>
      <c r="C14" s="1">
        <v>10174</v>
      </c>
      <c r="D14" s="1">
        <v>11916</v>
      </c>
      <c r="E14" s="1">
        <v>13140</v>
      </c>
      <c r="F14" s="1">
        <v>15502</v>
      </c>
      <c r="G14" s="1">
        <v>18828</v>
      </c>
      <c r="H14" s="1">
        <v>13839</v>
      </c>
      <c r="I14" s="1">
        <v>15751</v>
      </c>
      <c r="J14" s="1">
        <v>13428</v>
      </c>
      <c r="K14" s="1">
        <v>12661</v>
      </c>
      <c r="L14" s="6">
        <v>14579</v>
      </c>
      <c r="M14" s="6">
        <v>15961</v>
      </c>
      <c r="N14" s="6">
        <v>13576</v>
      </c>
      <c r="O14" s="6">
        <v>14657</v>
      </c>
      <c r="P14" s="6">
        <v>13398</v>
      </c>
      <c r="Q14" s="6">
        <v>10405</v>
      </c>
      <c r="R14" s="6">
        <v>12199</v>
      </c>
      <c r="S14" s="6">
        <v>12118</v>
      </c>
      <c r="T14" s="6">
        <v>10814</v>
      </c>
      <c r="U14" s="6">
        <v>11810</v>
      </c>
      <c r="V14" s="6">
        <v>10550</v>
      </c>
      <c r="W14" s="6">
        <v>11759</v>
      </c>
    </row>
    <row r="15" spans="1:23" ht="20" customHeight="1">
      <c r="A15" s="8" t="s">
        <v>24</v>
      </c>
      <c r="B15" s="1">
        <v>9190</v>
      </c>
      <c r="C15" s="1">
        <v>6001</v>
      </c>
      <c r="D15" s="1">
        <v>5592</v>
      </c>
      <c r="E15" s="1">
        <v>4920</v>
      </c>
      <c r="F15" s="1">
        <v>4486</v>
      </c>
      <c r="G15" s="1">
        <v>4753</v>
      </c>
      <c r="H15" s="1">
        <v>4334</v>
      </c>
      <c r="I15" s="1">
        <v>5927</v>
      </c>
      <c r="J15" s="1">
        <v>5997</v>
      </c>
      <c r="K15" s="1">
        <v>4738</v>
      </c>
      <c r="L15" s="6">
        <v>4598</v>
      </c>
      <c r="M15" s="6">
        <v>5079</v>
      </c>
      <c r="N15" s="6">
        <v>5553</v>
      </c>
      <c r="O15" s="6">
        <v>4777</v>
      </c>
      <c r="P15" s="6">
        <v>4376</v>
      </c>
      <c r="Q15" s="6">
        <v>4000</v>
      </c>
      <c r="R15" s="6">
        <v>4347</v>
      </c>
      <c r="S15" s="6">
        <v>5015</v>
      </c>
      <c r="T15" s="6">
        <v>4656</v>
      </c>
      <c r="U15" s="6">
        <v>4830</v>
      </c>
      <c r="V15" s="6">
        <v>4067</v>
      </c>
      <c r="W15" s="6">
        <v>3921</v>
      </c>
    </row>
    <row r="16" spans="1:23" ht="20" customHeight="1">
      <c r="A16" s="8" t="s">
        <v>25</v>
      </c>
      <c r="B16" s="1">
        <v>7033</v>
      </c>
      <c r="C16" s="1">
        <v>5660</v>
      </c>
      <c r="D16" s="1">
        <v>6132</v>
      </c>
      <c r="E16" s="1">
        <v>5496</v>
      </c>
      <c r="F16" s="1">
        <v>5129</v>
      </c>
      <c r="G16" s="1">
        <v>5605</v>
      </c>
      <c r="H16" s="1">
        <v>5035</v>
      </c>
      <c r="I16" s="1">
        <v>5765</v>
      </c>
      <c r="J16" s="1">
        <v>5287</v>
      </c>
      <c r="K16" s="1">
        <v>5050</v>
      </c>
      <c r="L16" s="6">
        <v>6067</v>
      </c>
      <c r="M16" s="6">
        <v>6778</v>
      </c>
      <c r="N16" s="6">
        <v>6363</v>
      </c>
      <c r="O16" s="6">
        <v>5724</v>
      </c>
      <c r="P16" s="6">
        <v>5773</v>
      </c>
      <c r="Q16" s="6">
        <v>5309</v>
      </c>
      <c r="R16" s="6">
        <v>5555</v>
      </c>
      <c r="S16" s="6">
        <v>5318</v>
      </c>
      <c r="T16" s="6">
        <v>5159</v>
      </c>
      <c r="U16" s="6">
        <v>5769</v>
      </c>
      <c r="V16" s="6">
        <v>4973</v>
      </c>
      <c r="W16" s="6">
        <v>5036</v>
      </c>
    </row>
    <row r="17" spans="1:23" ht="20" customHeight="1">
      <c r="A17" s="8" t="s">
        <v>26</v>
      </c>
      <c r="B17" s="1">
        <v>5113</v>
      </c>
      <c r="C17" s="1">
        <v>4015</v>
      </c>
      <c r="D17" s="1">
        <v>4612</v>
      </c>
      <c r="E17" s="1">
        <v>4524</v>
      </c>
      <c r="F17" s="1">
        <v>4317</v>
      </c>
      <c r="G17" s="1">
        <v>4709</v>
      </c>
      <c r="H17" s="1">
        <v>4193</v>
      </c>
      <c r="I17" s="1">
        <v>4753</v>
      </c>
      <c r="J17" s="1">
        <v>4751</v>
      </c>
      <c r="K17" s="1">
        <v>7522</v>
      </c>
      <c r="L17" s="6">
        <v>8037</v>
      </c>
      <c r="M17" s="6">
        <v>6793</v>
      </c>
      <c r="N17" s="6">
        <v>5219</v>
      </c>
      <c r="O17" s="6">
        <v>4856</v>
      </c>
      <c r="P17" s="6">
        <v>4975</v>
      </c>
      <c r="Q17" s="6">
        <v>4928</v>
      </c>
      <c r="R17" s="6">
        <v>8202</v>
      </c>
      <c r="S17" s="6">
        <v>8428</v>
      </c>
      <c r="T17" s="6">
        <v>7867</v>
      </c>
      <c r="U17" s="6">
        <v>8021</v>
      </c>
      <c r="V17" s="6">
        <v>8090</v>
      </c>
      <c r="W17" s="6">
        <v>8319</v>
      </c>
    </row>
    <row r="18" spans="1:23" ht="20" customHeight="1">
      <c r="A18" s="8" t="s">
        <v>27</v>
      </c>
      <c r="B18" s="1">
        <v>5001</v>
      </c>
      <c r="C18" s="1">
        <v>3752</v>
      </c>
      <c r="D18" s="1">
        <v>5634</v>
      </c>
      <c r="E18" s="1">
        <v>6360</v>
      </c>
      <c r="F18" s="1">
        <v>4527</v>
      </c>
      <c r="G18" s="1">
        <v>3938</v>
      </c>
      <c r="H18" s="1">
        <v>3213</v>
      </c>
      <c r="I18" s="1">
        <v>4098</v>
      </c>
      <c r="J18" s="1">
        <v>3729</v>
      </c>
      <c r="K18" s="1">
        <v>4030</v>
      </c>
      <c r="L18" s="6">
        <v>4350</v>
      </c>
      <c r="M18" s="6">
        <v>6340</v>
      </c>
      <c r="N18" s="6">
        <v>6476</v>
      </c>
      <c r="O18" s="6">
        <v>4591</v>
      </c>
      <c r="P18" s="6">
        <v>4146</v>
      </c>
      <c r="Q18" s="6">
        <v>4048</v>
      </c>
      <c r="R18" s="6">
        <v>4927</v>
      </c>
      <c r="S18" s="6">
        <v>4689</v>
      </c>
      <c r="T18" s="6">
        <v>3916</v>
      </c>
      <c r="U18" s="6">
        <v>3977</v>
      </c>
      <c r="V18" s="6">
        <v>3504</v>
      </c>
      <c r="W18" s="6">
        <v>3146</v>
      </c>
    </row>
    <row r="19" spans="1:23" ht="20" customHeight="1">
      <c r="A19" s="8" t="s">
        <v>28</v>
      </c>
      <c r="B19" s="1">
        <v>1529</v>
      </c>
      <c r="C19" s="1">
        <v>1200</v>
      </c>
      <c r="D19" s="1">
        <v>1264</v>
      </c>
      <c r="E19" s="1">
        <v>1177</v>
      </c>
      <c r="F19" s="1">
        <v>1341</v>
      </c>
      <c r="G19" s="1">
        <v>1867</v>
      </c>
      <c r="H19" s="1">
        <v>1208</v>
      </c>
      <c r="I19" s="1">
        <v>2157</v>
      </c>
      <c r="J19" s="1">
        <v>1793</v>
      </c>
      <c r="K19" s="1">
        <v>1351</v>
      </c>
      <c r="L19" s="6">
        <v>1369</v>
      </c>
      <c r="M19" s="6">
        <v>1512</v>
      </c>
      <c r="N19" s="6">
        <v>1551</v>
      </c>
      <c r="O19" s="6">
        <v>1515</v>
      </c>
      <c r="P19" s="6">
        <v>1346</v>
      </c>
      <c r="Q19" s="6">
        <v>1194</v>
      </c>
      <c r="R19" s="6">
        <v>1506</v>
      </c>
      <c r="S19" s="6">
        <v>1473</v>
      </c>
      <c r="T19" s="6">
        <v>1016</v>
      </c>
      <c r="U19" s="6">
        <v>1268</v>
      </c>
      <c r="V19" s="6">
        <v>966</v>
      </c>
      <c r="W19" s="6">
        <v>1153</v>
      </c>
    </row>
    <row r="20" spans="1:23" ht="20" customHeight="1">
      <c r="A20" s="8" t="s">
        <v>29</v>
      </c>
      <c r="B20" s="1">
        <v>1153</v>
      </c>
      <c r="C20" s="1">
        <v>1073</v>
      </c>
      <c r="D20" s="1">
        <v>1595</v>
      </c>
      <c r="E20" s="1">
        <v>1731</v>
      </c>
      <c r="F20" s="1">
        <v>1302</v>
      </c>
      <c r="G20" s="1">
        <v>1196</v>
      </c>
      <c r="H20" s="1">
        <v>1131</v>
      </c>
      <c r="I20" s="1">
        <v>1151</v>
      </c>
      <c r="J20" s="1">
        <v>1059</v>
      </c>
      <c r="K20" s="1">
        <v>1055</v>
      </c>
      <c r="L20" s="6">
        <v>1128</v>
      </c>
      <c r="M20" s="6">
        <v>1217</v>
      </c>
      <c r="N20" s="6">
        <v>1467</v>
      </c>
      <c r="O20" s="6">
        <v>1336</v>
      </c>
      <c r="P20" s="6">
        <v>1131</v>
      </c>
      <c r="Q20" s="6">
        <v>1021</v>
      </c>
      <c r="R20" s="6">
        <v>1021</v>
      </c>
      <c r="S20" s="6">
        <v>991</v>
      </c>
      <c r="T20" s="6">
        <v>910</v>
      </c>
      <c r="U20" s="6">
        <v>1126</v>
      </c>
      <c r="V20" s="6">
        <v>907</v>
      </c>
      <c r="W20" s="6">
        <v>1060</v>
      </c>
    </row>
    <row r="21" spans="1:23" ht="20" customHeight="1">
      <c r="A21" s="8" t="s">
        <v>30</v>
      </c>
      <c r="B21" s="1">
        <v>478</v>
      </c>
      <c r="C21" s="1">
        <v>333</v>
      </c>
      <c r="D21" s="1">
        <v>554</v>
      </c>
      <c r="E21" s="1">
        <v>522</v>
      </c>
      <c r="F21" s="1">
        <v>424</v>
      </c>
      <c r="G21" s="1">
        <v>359</v>
      </c>
      <c r="H21" s="1">
        <v>325</v>
      </c>
      <c r="I21" s="1">
        <v>326</v>
      </c>
      <c r="J21" s="1">
        <v>327</v>
      </c>
      <c r="K21" s="1">
        <v>380</v>
      </c>
      <c r="L21" s="6">
        <v>370</v>
      </c>
      <c r="M21" s="6">
        <v>355</v>
      </c>
      <c r="N21" s="6">
        <v>354</v>
      </c>
      <c r="O21" s="6">
        <v>305</v>
      </c>
      <c r="P21" s="6">
        <v>345</v>
      </c>
      <c r="Q21" s="6">
        <v>276</v>
      </c>
      <c r="R21" s="6">
        <v>353</v>
      </c>
      <c r="S21" s="6">
        <v>324</v>
      </c>
      <c r="T21" s="6">
        <v>276</v>
      </c>
      <c r="U21" s="6">
        <v>367</v>
      </c>
      <c r="V21" s="6">
        <v>307</v>
      </c>
      <c r="W21" s="6">
        <v>418</v>
      </c>
    </row>
    <row r="22" spans="1:23" ht="20" customHeight="1">
      <c r="A22" s="8" t="s">
        <v>31</v>
      </c>
      <c r="B22" s="1">
        <v>2101</v>
      </c>
      <c r="C22" s="1">
        <v>1896</v>
      </c>
      <c r="D22" s="1">
        <v>2166</v>
      </c>
      <c r="E22" s="1">
        <v>1946</v>
      </c>
      <c r="F22" s="1">
        <v>2792</v>
      </c>
      <c r="G22" s="1">
        <v>3034</v>
      </c>
      <c r="H22" s="1">
        <v>2546</v>
      </c>
      <c r="I22" s="1">
        <v>2264</v>
      </c>
      <c r="J22" s="1">
        <v>2228</v>
      </c>
      <c r="K22" s="1">
        <v>1911</v>
      </c>
      <c r="L22" s="6">
        <v>3638</v>
      </c>
      <c r="M22" s="6">
        <v>6111</v>
      </c>
      <c r="N22" s="6">
        <v>4460</v>
      </c>
      <c r="O22" s="6">
        <v>4579</v>
      </c>
      <c r="P22" s="6">
        <v>3824</v>
      </c>
      <c r="Q22" s="6">
        <v>3610</v>
      </c>
      <c r="R22" s="6">
        <v>3734</v>
      </c>
      <c r="S22" s="6">
        <v>2876</v>
      </c>
      <c r="T22" s="6">
        <v>2386</v>
      </c>
      <c r="U22" s="6">
        <v>3267</v>
      </c>
      <c r="V22" s="6">
        <v>4268</v>
      </c>
      <c r="W22" s="6">
        <v>3260</v>
      </c>
    </row>
    <row r="23" spans="1:23" ht="20" customHeight="1">
      <c r="A23" s="8" t="s">
        <v>32</v>
      </c>
      <c r="B23" s="1">
        <v>10745</v>
      </c>
      <c r="C23" s="1">
        <v>10550</v>
      </c>
      <c r="D23" s="1">
        <v>10860</v>
      </c>
      <c r="E23" s="1">
        <v>11436</v>
      </c>
      <c r="F23" s="1">
        <v>11296</v>
      </c>
      <c r="G23" s="1">
        <v>11734</v>
      </c>
      <c r="H23" s="1">
        <v>8608</v>
      </c>
      <c r="I23" s="1">
        <v>9462</v>
      </c>
      <c r="J23" s="1">
        <v>10135</v>
      </c>
      <c r="K23" s="1">
        <v>10433</v>
      </c>
      <c r="L23" s="6">
        <v>13426</v>
      </c>
      <c r="M23" s="6">
        <v>15267</v>
      </c>
      <c r="N23" s="6">
        <v>10948</v>
      </c>
      <c r="O23" s="6">
        <v>12437</v>
      </c>
      <c r="P23" s="6">
        <v>12891</v>
      </c>
      <c r="Q23" s="6">
        <v>9863</v>
      </c>
      <c r="R23" s="6">
        <v>11457</v>
      </c>
      <c r="S23" s="6">
        <v>11315</v>
      </c>
      <c r="T23" s="6">
        <v>13131</v>
      </c>
      <c r="U23" s="6">
        <v>12551</v>
      </c>
      <c r="V23" s="6">
        <v>9522</v>
      </c>
      <c r="W23" s="6">
        <v>12085</v>
      </c>
    </row>
    <row r="24" spans="1:23" ht="20" customHeight="1">
      <c r="A24" s="8" t="s">
        <v>33</v>
      </c>
      <c r="B24" s="1">
        <v>1251</v>
      </c>
      <c r="C24" s="1">
        <v>1019</v>
      </c>
      <c r="D24" s="1">
        <v>1218</v>
      </c>
      <c r="E24" s="1">
        <v>1138</v>
      </c>
      <c r="F24" s="1">
        <v>983</v>
      </c>
      <c r="G24" s="1">
        <v>1323</v>
      </c>
      <c r="H24" s="1">
        <v>2040</v>
      </c>
      <c r="I24" s="1">
        <v>1768</v>
      </c>
      <c r="J24" s="1">
        <v>2452</v>
      </c>
      <c r="K24" s="1">
        <v>2115</v>
      </c>
      <c r="L24" s="6">
        <v>1499</v>
      </c>
      <c r="M24" s="6">
        <v>1632</v>
      </c>
      <c r="N24" s="6">
        <v>1415</v>
      </c>
      <c r="O24" s="6">
        <v>1208</v>
      </c>
      <c r="P24" s="6">
        <v>1180</v>
      </c>
      <c r="Q24" s="6">
        <v>1103</v>
      </c>
      <c r="R24" s="6">
        <v>1080</v>
      </c>
      <c r="S24" s="6">
        <v>1186</v>
      </c>
      <c r="T24" s="6">
        <v>1157</v>
      </c>
      <c r="U24" s="6">
        <v>1227</v>
      </c>
      <c r="V24" s="6">
        <v>1157</v>
      </c>
      <c r="W24" s="6">
        <v>1166</v>
      </c>
    </row>
    <row r="25" spans="1:23" ht="20" customHeight="1">
      <c r="A25" s="8" t="s">
        <v>34</v>
      </c>
      <c r="B25" s="1">
        <v>4653</v>
      </c>
      <c r="C25" s="1">
        <v>3750</v>
      </c>
      <c r="D25" s="1">
        <v>4568</v>
      </c>
      <c r="E25" s="1">
        <v>7416</v>
      </c>
      <c r="F25" s="1">
        <v>5603</v>
      </c>
      <c r="G25" s="1">
        <v>4640</v>
      </c>
      <c r="H25" s="1">
        <v>4462</v>
      </c>
      <c r="I25" s="1">
        <v>5034</v>
      </c>
      <c r="J25" s="1">
        <v>4303</v>
      </c>
      <c r="K25" s="1">
        <v>3845</v>
      </c>
      <c r="L25" s="6">
        <v>4140</v>
      </c>
      <c r="M25" s="6">
        <v>4412</v>
      </c>
      <c r="N25" s="6">
        <v>4684</v>
      </c>
      <c r="O25" s="6">
        <v>4443</v>
      </c>
      <c r="P25" s="6">
        <v>4102</v>
      </c>
      <c r="Q25" s="6">
        <v>3534</v>
      </c>
      <c r="R25" s="6">
        <v>3893</v>
      </c>
      <c r="S25" s="6">
        <v>4117</v>
      </c>
      <c r="T25" s="6">
        <v>4657</v>
      </c>
      <c r="U25" s="6">
        <v>6062</v>
      </c>
      <c r="V25" s="6">
        <v>5128</v>
      </c>
      <c r="W25" s="6">
        <v>4691</v>
      </c>
    </row>
    <row r="26" spans="1:23" ht="20" customHeight="1">
      <c r="A26" s="8" t="s">
        <v>35</v>
      </c>
      <c r="B26" s="1">
        <v>2308</v>
      </c>
      <c r="C26" s="1">
        <v>1977</v>
      </c>
      <c r="D26" s="1">
        <v>2184</v>
      </c>
      <c r="E26" s="1">
        <v>2802</v>
      </c>
      <c r="F26" s="1">
        <v>2627</v>
      </c>
      <c r="G26" s="1">
        <v>2537</v>
      </c>
      <c r="H26" s="1">
        <v>1725</v>
      </c>
      <c r="I26" s="1">
        <v>2095</v>
      </c>
      <c r="J26" s="1">
        <v>1929</v>
      </c>
      <c r="K26" s="1">
        <v>1895</v>
      </c>
      <c r="L26" s="6">
        <v>2338</v>
      </c>
      <c r="M26" s="6">
        <v>2345</v>
      </c>
      <c r="N26" s="6">
        <v>2449</v>
      </c>
      <c r="O26" s="6">
        <v>2392</v>
      </c>
      <c r="P26" s="6">
        <v>2374</v>
      </c>
      <c r="Q26" s="6">
        <v>2566</v>
      </c>
      <c r="R26" s="6">
        <v>2495</v>
      </c>
      <c r="S26" s="6">
        <v>2835</v>
      </c>
      <c r="T26" s="6">
        <v>1747</v>
      </c>
      <c r="U26" s="6">
        <v>1919</v>
      </c>
      <c r="V26" s="6">
        <v>2404</v>
      </c>
      <c r="W26" s="6">
        <v>3540</v>
      </c>
    </row>
    <row r="27" spans="1:23" ht="20" customHeight="1">
      <c r="A27" s="8" t="s">
        <v>36</v>
      </c>
      <c r="B27" s="1">
        <v>6468</v>
      </c>
      <c r="C27" s="1">
        <v>4819</v>
      </c>
      <c r="D27" s="1">
        <v>4325</v>
      </c>
      <c r="E27" s="1">
        <v>3967</v>
      </c>
      <c r="F27" s="1">
        <v>3828</v>
      </c>
      <c r="G27" s="1">
        <v>4748</v>
      </c>
      <c r="H27" s="1">
        <v>4529</v>
      </c>
      <c r="I27" s="1">
        <v>5011</v>
      </c>
      <c r="J27" s="1">
        <v>4725</v>
      </c>
      <c r="K27" s="1">
        <v>4248</v>
      </c>
      <c r="L27" s="6">
        <v>8209</v>
      </c>
      <c r="M27" s="6">
        <v>9060</v>
      </c>
      <c r="N27" s="6">
        <v>6569</v>
      </c>
      <c r="O27" s="6">
        <v>6581</v>
      </c>
      <c r="P27" s="6">
        <v>5157</v>
      </c>
      <c r="Q27" s="6">
        <v>4464</v>
      </c>
      <c r="R27" s="6">
        <v>6204</v>
      </c>
      <c r="S27" s="6">
        <v>5531</v>
      </c>
      <c r="T27" s="6">
        <v>4616</v>
      </c>
      <c r="U27" s="6">
        <v>5882</v>
      </c>
      <c r="V27" s="6">
        <v>5545</v>
      </c>
      <c r="W27" s="6">
        <v>6337</v>
      </c>
    </row>
    <row r="28" spans="1:23" ht="20" customHeight="1">
      <c r="A28" s="8" t="s">
        <v>37</v>
      </c>
      <c r="B28" s="1">
        <v>10021</v>
      </c>
      <c r="C28" s="1">
        <v>7476</v>
      </c>
      <c r="D28" s="1">
        <v>7789</v>
      </c>
      <c r="E28" s="1">
        <v>8126</v>
      </c>
      <c r="F28" s="1">
        <v>8567</v>
      </c>
      <c r="G28" s="1">
        <v>8243</v>
      </c>
      <c r="H28" s="1">
        <v>6482</v>
      </c>
      <c r="I28" s="1">
        <v>7675</v>
      </c>
      <c r="J28" s="1">
        <v>7556</v>
      </c>
      <c r="K28" s="1">
        <v>6814</v>
      </c>
      <c r="L28" s="6">
        <v>8447</v>
      </c>
      <c r="M28" s="6">
        <v>7832</v>
      </c>
      <c r="N28" s="6">
        <v>8449</v>
      </c>
      <c r="O28" s="6">
        <v>7808</v>
      </c>
      <c r="P28" s="6">
        <v>6604</v>
      </c>
      <c r="Q28" s="6">
        <v>6381</v>
      </c>
      <c r="R28" s="6">
        <v>7562</v>
      </c>
      <c r="S28" s="6">
        <v>7489</v>
      </c>
      <c r="T28" s="6">
        <v>7775</v>
      </c>
      <c r="U28" s="6">
        <v>7879</v>
      </c>
      <c r="V28" s="6">
        <v>7057</v>
      </c>
      <c r="W28" s="6">
        <v>7415</v>
      </c>
    </row>
    <row r="29" spans="1:23" ht="20" customHeight="1">
      <c r="A29" s="8" t="s">
        <v>38</v>
      </c>
      <c r="B29" s="1">
        <v>3909</v>
      </c>
      <c r="C29" s="1">
        <v>3447</v>
      </c>
      <c r="D29" s="1">
        <v>4096</v>
      </c>
      <c r="E29" s="1">
        <v>3631</v>
      </c>
      <c r="F29" s="1">
        <v>4472</v>
      </c>
      <c r="G29" s="1">
        <v>4589</v>
      </c>
      <c r="H29" s="1">
        <v>3535</v>
      </c>
      <c r="I29" s="1">
        <v>3411</v>
      </c>
      <c r="J29" s="1">
        <v>3692</v>
      </c>
      <c r="K29" s="1">
        <v>3556</v>
      </c>
      <c r="L29" s="6">
        <v>3449</v>
      </c>
      <c r="M29" s="6">
        <v>3844</v>
      </c>
      <c r="N29" s="6">
        <v>3192</v>
      </c>
      <c r="O29" s="6">
        <v>4507</v>
      </c>
      <c r="P29" s="6">
        <v>4088</v>
      </c>
      <c r="Q29" s="6">
        <v>3032</v>
      </c>
      <c r="R29" s="6">
        <v>3352</v>
      </c>
      <c r="S29" s="6">
        <v>3396</v>
      </c>
      <c r="T29" s="6">
        <v>3276</v>
      </c>
      <c r="U29" s="6">
        <v>3779</v>
      </c>
      <c r="V29" s="6">
        <v>3121</v>
      </c>
      <c r="W29" s="6">
        <v>3358</v>
      </c>
    </row>
    <row r="30" spans="1:23" ht="20" customHeight="1">
      <c r="A30" s="8" t="s">
        <v>39</v>
      </c>
      <c r="B30" s="1">
        <v>14165</v>
      </c>
      <c r="C30" s="1">
        <v>11370</v>
      </c>
      <c r="D30" s="1">
        <v>12131</v>
      </c>
      <c r="E30" s="1">
        <v>10132</v>
      </c>
      <c r="F30" s="1">
        <v>10381</v>
      </c>
      <c r="G30" s="1">
        <v>10840</v>
      </c>
      <c r="H30" s="1">
        <v>10656</v>
      </c>
      <c r="I30" s="1">
        <v>10326</v>
      </c>
      <c r="J30" s="1">
        <v>10694</v>
      </c>
      <c r="K30" s="1">
        <v>11381</v>
      </c>
      <c r="L30" s="6">
        <v>12318</v>
      </c>
      <c r="M30" s="6">
        <v>13453</v>
      </c>
      <c r="N30" s="6">
        <v>10673</v>
      </c>
      <c r="O30" s="6">
        <v>9601</v>
      </c>
      <c r="P30" s="6">
        <v>8801</v>
      </c>
      <c r="Q30" s="6">
        <v>8992</v>
      </c>
      <c r="R30" s="6">
        <v>11920</v>
      </c>
      <c r="S30" s="6">
        <v>10597</v>
      </c>
      <c r="T30" s="6">
        <v>12056</v>
      </c>
      <c r="U30" s="6">
        <v>12812</v>
      </c>
      <c r="V30" s="6">
        <v>9539</v>
      </c>
      <c r="W30" s="6">
        <v>10562</v>
      </c>
    </row>
    <row r="31" spans="1:23" ht="20" customHeight="1">
      <c r="A31" s="8" t="s">
        <v>40</v>
      </c>
      <c r="B31" s="1">
        <v>11083</v>
      </c>
      <c r="C31" s="1">
        <v>7931</v>
      </c>
      <c r="D31" s="1">
        <v>7696</v>
      </c>
      <c r="E31" s="1">
        <v>7085</v>
      </c>
      <c r="F31" s="1">
        <v>7972</v>
      </c>
      <c r="G31" s="1">
        <v>9443</v>
      </c>
      <c r="H31" s="1">
        <v>6166</v>
      </c>
      <c r="I31" s="1">
        <v>7314</v>
      </c>
      <c r="J31" s="1">
        <v>6126</v>
      </c>
      <c r="K31" s="1">
        <v>11692</v>
      </c>
      <c r="L31" s="6">
        <v>13140</v>
      </c>
      <c r="M31" s="6">
        <v>14454</v>
      </c>
      <c r="N31" s="6">
        <v>7752</v>
      </c>
      <c r="O31" s="6">
        <v>6948</v>
      </c>
      <c r="P31" s="6">
        <v>6824</v>
      </c>
      <c r="Q31" s="6">
        <v>5814</v>
      </c>
      <c r="R31" s="6">
        <v>7200</v>
      </c>
      <c r="S31" s="6">
        <v>7709</v>
      </c>
      <c r="T31" s="6">
        <v>5925</v>
      </c>
      <c r="U31" s="6">
        <v>6730</v>
      </c>
      <c r="V31" s="6">
        <v>5114</v>
      </c>
      <c r="W31" s="6">
        <v>6278</v>
      </c>
    </row>
    <row r="32" spans="1:23" ht="20" customHeight="1">
      <c r="A32" s="8" t="s">
        <v>41</v>
      </c>
      <c r="B32" s="1">
        <v>4849</v>
      </c>
      <c r="C32" s="1">
        <v>4032</v>
      </c>
      <c r="D32" s="1">
        <v>4555</v>
      </c>
      <c r="E32" s="1">
        <v>4157</v>
      </c>
      <c r="F32" s="1">
        <v>4199</v>
      </c>
      <c r="G32" s="1">
        <v>4736</v>
      </c>
      <c r="H32" s="1">
        <v>4297</v>
      </c>
      <c r="I32" s="1">
        <v>5110</v>
      </c>
      <c r="J32" s="1">
        <v>5575</v>
      </c>
      <c r="K32" s="1">
        <v>5176</v>
      </c>
      <c r="L32" s="6">
        <v>5032</v>
      </c>
      <c r="M32" s="6">
        <v>7389</v>
      </c>
      <c r="N32" s="6">
        <v>6284</v>
      </c>
      <c r="O32" s="6">
        <v>5731</v>
      </c>
      <c r="P32" s="6">
        <v>4787</v>
      </c>
      <c r="Q32" s="6">
        <v>4326</v>
      </c>
      <c r="R32" s="6">
        <v>5966</v>
      </c>
      <c r="S32" s="6">
        <v>6405</v>
      </c>
      <c r="T32" s="6">
        <v>4919</v>
      </c>
      <c r="U32" s="6">
        <v>6406</v>
      </c>
      <c r="V32" s="6">
        <v>7254</v>
      </c>
      <c r="W32" s="6">
        <v>15359</v>
      </c>
    </row>
    <row r="33" spans="1:23" ht="20" customHeight="1">
      <c r="A33" s="8" t="s">
        <v>42</v>
      </c>
      <c r="B33" s="1">
        <v>2722</v>
      </c>
      <c r="C33" s="1">
        <v>2304</v>
      </c>
      <c r="D33" s="1">
        <v>2623</v>
      </c>
      <c r="E33" s="1">
        <v>2367</v>
      </c>
      <c r="F33" s="1">
        <v>2288</v>
      </c>
      <c r="G33" s="1">
        <v>2635</v>
      </c>
      <c r="H33" s="1">
        <v>2134</v>
      </c>
      <c r="I33" s="1">
        <v>2386</v>
      </c>
      <c r="J33" s="1">
        <v>2277</v>
      </c>
      <c r="K33" s="1">
        <v>2261</v>
      </c>
      <c r="L33" s="6">
        <v>2398</v>
      </c>
      <c r="M33" s="6">
        <v>2846</v>
      </c>
      <c r="N33" s="6">
        <v>2651</v>
      </c>
      <c r="O33" s="6">
        <v>2518</v>
      </c>
      <c r="P33" s="6">
        <v>2441</v>
      </c>
      <c r="Q33" s="6">
        <v>2049</v>
      </c>
      <c r="R33" s="6">
        <v>2479</v>
      </c>
      <c r="S33" s="6">
        <v>2672</v>
      </c>
      <c r="T33" s="6">
        <v>3036</v>
      </c>
      <c r="U33" s="6">
        <v>3371</v>
      </c>
      <c r="V33" s="6">
        <v>2555</v>
      </c>
      <c r="W33" s="6">
        <v>2467</v>
      </c>
    </row>
    <row r="34" spans="1:23" ht="20" customHeight="1">
      <c r="A34" s="8" t="s">
        <v>43</v>
      </c>
      <c r="B34" s="1">
        <v>6381</v>
      </c>
      <c r="C34" s="1">
        <v>5343</v>
      </c>
      <c r="D34" s="1">
        <v>5987</v>
      </c>
      <c r="E34" s="1">
        <v>5387</v>
      </c>
      <c r="F34" s="1">
        <v>5231</v>
      </c>
      <c r="G34" s="1">
        <v>5586</v>
      </c>
      <c r="H34" s="1">
        <v>4975</v>
      </c>
      <c r="I34" s="1">
        <v>5890</v>
      </c>
      <c r="J34" s="1">
        <v>6384</v>
      </c>
      <c r="K34" s="1">
        <v>5699</v>
      </c>
      <c r="L34" s="6">
        <v>6104</v>
      </c>
      <c r="M34" s="6">
        <v>6849</v>
      </c>
      <c r="N34" s="6">
        <v>5951</v>
      </c>
      <c r="O34" s="6">
        <v>5790</v>
      </c>
      <c r="P34" s="6">
        <v>5513</v>
      </c>
      <c r="Q34" s="6">
        <v>4789</v>
      </c>
      <c r="R34" s="6">
        <v>5742</v>
      </c>
      <c r="S34" s="6">
        <v>5750</v>
      </c>
      <c r="T34" s="6">
        <v>5403</v>
      </c>
      <c r="U34" s="6">
        <v>6345</v>
      </c>
      <c r="V34" s="6">
        <v>5360</v>
      </c>
      <c r="W34" s="6">
        <v>5610</v>
      </c>
    </row>
    <row r="35" spans="1:23" ht="20" customHeight="1">
      <c r="A35" s="8" t="s">
        <v>44</v>
      </c>
      <c r="B35" s="1">
        <v>8455</v>
      </c>
      <c r="C35" s="1">
        <v>6206</v>
      </c>
      <c r="D35" s="1">
        <v>6703</v>
      </c>
      <c r="E35" s="1">
        <v>5979</v>
      </c>
      <c r="F35" s="1">
        <v>5865</v>
      </c>
      <c r="G35" s="1">
        <v>6859</v>
      </c>
      <c r="H35" s="1">
        <v>5362</v>
      </c>
      <c r="I35" s="1">
        <v>5650</v>
      </c>
      <c r="J35" s="1">
        <v>5273</v>
      </c>
      <c r="K35" s="1">
        <v>5957</v>
      </c>
      <c r="L35" s="6">
        <v>7497</v>
      </c>
      <c r="M35" s="6">
        <v>8733</v>
      </c>
      <c r="N35" s="6">
        <v>7606</v>
      </c>
      <c r="O35" s="6">
        <v>7229</v>
      </c>
      <c r="P35" s="6">
        <v>6382</v>
      </c>
      <c r="Q35" s="6">
        <v>5564</v>
      </c>
      <c r="R35" s="6">
        <v>6527</v>
      </c>
      <c r="S35" s="6">
        <v>6708</v>
      </c>
      <c r="T35" s="6">
        <v>5826</v>
      </c>
      <c r="U35" s="6">
        <v>6067</v>
      </c>
      <c r="V35" s="6">
        <v>5435</v>
      </c>
      <c r="W35" s="6">
        <v>6656</v>
      </c>
    </row>
    <row r="36" spans="1:23" ht="20" customHeight="1">
      <c r="A36" s="8" t="s">
        <v>45</v>
      </c>
      <c r="B36" s="1">
        <v>4301</v>
      </c>
      <c r="C36" s="1">
        <v>3334</v>
      </c>
      <c r="D36" s="1">
        <v>3944</v>
      </c>
      <c r="E36" s="1">
        <v>3134</v>
      </c>
      <c r="F36" s="1">
        <v>3623</v>
      </c>
      <c r="G36" s="1">
        <v>4762</v>
      </c>
      <c r="H36" s="1">
        <v>3747</v>
      </c>
      <c r="I36" s="1">
        <v>3508</v>
      </c>
      <c r="J36" s="1">
        <v>3381</v>
      </c>
      <c r="K36" s="1">
        <v>3451</v>
      </c>
      <c r="L36" s="6">
        <v>3903</v>
      </c>
      <c r="M36" s="6">
        <v>4948</v>
      </c>
      <c r="N36" s="6">
        <v>3988</v>
      </c>
      <c r="O36" s="6">
        <v>3794</v>
      </c>
      <c r="P36" s="6">
        <v>3426</v>
      </c>
      <c r="Q36" s="6">
        <v>2954</v>
      </c>
      <c r="R36" s="6">
        <v>3566</v>
      </c>
      <c r="S36" s="6">
        <v>3653</v>
      </c>
      <c r="T36" s="6">
        <v>3056</v>
      </c>
      <c r="U36" s="6">
        <v>3667</v>
      </c>
      <c r="V36" s="6">
        <v>3185</v>
      </c>
      <c r="W36" s="6">
        <v>3424</v>
      </c>
    </row>
    <row r="37" spans="1:23" ht="20" customHeight="1">
      <c r="A37" s="8" t="s">
        <v>46</v>
      </c>
      <c r="B37" s="1">
        <v>4033</v>
      </c>
      <c r="C37" s="1">
        <v>3335</v>
      </c>
      <c r="D37" s="1">
        <v>3659</v>
      </c>
      <c r="E37" s="1">
        <v>3421</v>
      </c>
      <c r="F37" s="1">
        <v>3367</v>
      </c>
      <c r="G37" s="1">
        <v>3293</v>
      </c>
      <c r="H37" s="1">
        <v>2929</v>
      </c>
      <c r="I37" s="1">
        <v>3256</v>
      </c>
      <c r="J37" s="1">
        <v>3160</v>
      </c>
      <c r="K37" s="1">
        <v>3139</v>
      </c>
      <c r="L37" s="6">
        <v>3726</v>
      </c>
      <c r="M37" s="6">
        <v>3817</v>
      </c>
      <c r="N37" s="6">
        <v>3612</v>
      </c>
      <c r="O37" s="6">
        <v>3490</v>
      </c>
      <c r="P37" s="6">
        <v>3325</v>
      </c>
      <c r="Q37" s="6">
        <v>2872</v>
      </c>
      <c r="R37" s="6">
        <v>3453</v>
      </c>
      <c r="S37" s="6">
        <v>3592</v>
      </c>
      <c r="T37" s="6">
        <v>3327</v>
      </c>
      <c r="U37" s="6">
        <v>3375</v>
      </c>
      <c r="V37" s="6">
        <v>3099</v>
      </c>
      <c r="W37" s="6">
        <v>3261</v>
      </c>
    </row>
    <row r="38" spans="1:23" ht="20" customHeight="1">
      <c r="A38" s="8" t="s">
        <v>47</v>
      </c>
      <c r="B38" s="1">
        <v>2703</v>
      </c>
      <c r="C38" s="1">
        <v>2622</v>
      </c>
      <c r="D38" s="1">
        <v>2593</v>
      </c>
      <c r="E38" s="1">
        <v>2360</v>
      </c>
      <c r="F38" s="1">
        <v>2183</v>
      </c>
      <c r="G38" s="1">
        <v>2405</v>
      </c>
      <c r="H38" s="1">
        <v>2191</v>
      </c>
      <c r="I38" s="1">
        <v>2323</v>
      </c>
      <c r="J38" s="1">
        <v>2113</v>
      </c>
      <c r="K38" s="1">
        <v>2309</v>
      </c>
      <c r="L38" s="6">
        <v>2612</v>
      </c>
      <c r="M38" s="6">
        <v>2553</v>
      </c>
      <c r="N38" s="6">
        <v>2612</v>
      </c>
      <c r="O38" s="6">
        <v>2707</v>
      </c>
      <c r="P38" s="6">
        <v>2629</v>
      </c>
      <c r="Q38" s="6">
        <v>2158</v>
      </c>
      <c r="R38" s="6">
        <v>2405</v>
      </c>
      <c r="S38" s="6">
        <v>2507</v>
      </c>
      <c r="T38" s="6">
        <v>2207</v>
      </c>
      <c r="U38" s="6">
        <v>2471</v>
      </c>
      <c r="V38" s="6">
        <v>2057</v>
      </c>
      <c r="W38" s="6">
        <v>2364</v>
      </c>
    </row>
    <row r="39" spans="1:23" ht="20" customHeight="1">
      <c r="A39" s="8" t="s">
        <v>48</v>
      </c>
      <c r="B39" s="1">
        <v>4808</v>
      </c>
      <c r="C39" s="1">
        <v>3333</v>
      </c>
      <c r="D39" s="1">
        <v>3814</v>
      </c>
      <c r="E39" s="1">
        <v>3422</v>
      </c>
      <c r="F39" s="1">
        <v>4874</v>
      </c>
      <c r="G39" s="1">
        <v>5244</v>
      </c>
      <c r="H39" s="1">
        <v>4255</v>
      </c>
      <c r="I39" s="1">
        <v>4350</v>
      </c>
      <c r="J39" s="1">
        <v>3921</v>
      </c>
      <c r="K39" s="1">
        <v>4025</v>
      </c>
      <c r="L39" s="6">
        <v>4535</v>
      </c>
      <c r="M39" s="6">
        <v>6449</v>
      </c>
      <c r="N39" s="6">
        <v>4879</v>
      </c>
      <c r="O39" s="6">
        <v>3908</v>
      </c>
      <c r="P39" s="6">
        <v>3766</v>
      </c>
      <c r="Q39" s="6">
        <v>3397</v>
      </c>
      <c r="R39" s="6">
        <v>3857</v>
      </c>
      <c r="S39" s="6">
        <v>4235</v>
      </c>
      <c r="T39" s="6">
        <v>4053</v>
      </c>
      <c r="U39" s="6">
        <v>4239</v>
      </c>
      <c r="V39" s="6">
        <v>3750</v>
      </c>
      <c r="W39" s="6">
        <v>3937</v>
      </c>
    </row>
    <row r="40" spans="1:23" ht="20" customHeight="1">
      <c r="A40" s="8" t="s">
        <v>49</v>
      </c>
      <c r="B40" s="1">
        <v>2578</v>
      </c>
      <c r="C40" s="1">
        <v>2048</v>
      </c>
      <c r="D40" s="1">
        <v>2322</v>
      </c>
      <c r="E40" s="1">
        <v>2162</v>
      </c>
      <c r="F40" s="1">
        <v>2265</v>
      </c>
      <c r="G40" s="1">
        <v>2581</v>
      </c>
      <c r="H40" s="1">
        <v>2367</v>
      </c>
      <c r="I40" s="1">
        <v>2698</v>
      </c>
      <c r="J40" s="1">
        <v>2354</v>
      </c>
      <c r="K40" s="1">
        <v>2533</v>
      </c>
      <c r="L40" s="6">
        <v>2568</v>
      </c>
      <c r="M40" s="6">
        <v>2891</v>
      </c>
      <c r="N40" s="6">
        <v>2726</v>
      </c>
      <c r="O40" s="6">
        <v>2597</v>
      </c>
      <c r="P40" s="6">
        <v>2554</v>
      </c>
      <c r="Q40" s="6">
        <v>2246</v>
      </c>
      <c r="R40" s="6">
        <v>2582</v>
      </c>
      <c r="S40" s="6">
        <v>2384</v>
      </c>
      <c r="T40" s="6">
        <v>2274</v>
      </c>
      <c r="U40" s="6">
        <v>2810</v>
      </c>
      <c r="V40" s="6">
        <v>2198</v>
      </c>
      <c r="W40" s="6">
        <v>2345</v>
      </c>
    </row>
    <row r="41" spans="1:23" ht="20" customHeight="1">
      <c r="A41" s="8" t="s">
        <v>50</v>
      </c>
      <c r="B41" s="1">
        <v>4658</v>
      </c>
      <c r="C41" s="1">
        <v>3218</v>
      </c>
      <c r="D41" s="1">
        <v>3377</v>
      </c>
      <c r="E41" s="1">
        <v>4166</v>
      </c>
      <c r="F41" s="1">
        <v>4290</v>
      </c>
      <c r="G41" s="1">
        <v>6398</v>
      </c>
      <c r="H41" s="1">
        <v>4495</v>
      </c>
      <c r="I41" s="1">
        <v>4202</v>
      </c>
      <c r="J41" s="1">
        <v>3421</v>
      </c>
      <c r="K41" s="1">
        <v>3210</v>
      </c>
      <c r="L41" s="6">
        <v>4103</v>
      </c>
      <c r="M41" s="6">
        <v>6110</v>
      </c>
      <c r="N41" s="6">
        <v>4297</v>
      </c>
      <c r="O41" s="6">
        <v>3771</v>
      </c>
      <c r="P41" s="6">
        <v>3117</v>
      </c>
      <c r="Q41" s="6">
        <v>2701</v>
      </c>
      <c r="R41" s="6">
        <v>3450</v>
      </c>
      <c r="S41" s="6">
        <v>3853</v>
      </c>
      <c r="T41" s="6">
        <v>3244</v>
      </c>
      <c r="U41" s="6">
        <v>3519</v>
      </c>
      <c r="V41" s="6">
        <v>2938</v>
      </c>
      <c r="W41" s="6">
        <v>3431</v>
      </c>
    </row>
    <row r="42" spans="1:23" ht="20" customHeight="1">
      <c r="A42" s="8" t="s">
        <v>51</v>
      </c>
      <c r="B42" s="1">
        <v>6233</v>
      </c>
      <c r="C42" s="1">
        <v>4528</v>
      </c>
      <c r="D42" s="1">
        <v>5111</v>
      </c>
      <c r="E42" s="1">
        <v>4188</v>
      </c>
      <c r="F42" s="1">
        <v>3965</v>
      </c>
      <c r="G42" s="1">
        <v>4602</v>
      </c>
      <c r="H42" s="1">
        <v>3849</v>
      </c>
      <c r="I42" s="1">
        <v>4010</v>
      </c>
      <c r="J42" s="1">
        <v>3862</v>
      </c>
      <c r="K42" s="1">
        <v>3963</v>
      </c>
      <c r="L42" s="6">
        <v>4760</v>
      </c>
      <c r="M42" s="6">
        <v>6387</v>
      </c>
      <c r="N42" s="6">
        <v>5222</v>
      </c>
      <c r="O42" s="6">
        <v>4999</v>
      </c>
      <c r="P42" s="6">
        <v>4455</v>
      </c>
      <c r="Q42" s="6">
        <v>3621</v>
      </c>
      <c r="R42" s="6">
        <v>4350</v>
      </c>
      <c r="S42" s="6">
        <v>4606</v>
      </c>
      <c r="T42" s="6">
        <v>3921</v>
      </c>
      <c r="U42" s="6">
        <v>4274</v>
      </c>
      <c r="V42" s="6">
        <v>3715</v>
      </c>
      <c r="W42" s="6">
        <v>4032</v>
      </c>
    </row>
    <row r="43" spans="1:23" ht="20" customHeight="1">
      <c r="A43" s="8" t="s">
        <v>52</v>
      </c>
      <c r="B43" s="1">
        <v>5016</v>
      </c>
      <c r="C43" s="1">
        <v>3573</v>
      </c>
      <c r="D43" s="1">
        <v>4335</v>
      </c>
      <c r="E43" s="1">
        <v>3624</v>
      </c>
      <c r="F43" s="1">
        <v>3851</v>
      </c>
      <c r="G43" s="1">
        <v>4379</v>
      </c>
      <c r="H43" s="1">
        <v>3630</v>
      </c>
      <c r="I43" s="1">
        <v>3883</v>
      </c>
      <c r="J43" s="1">
        <v>3818</v>
      </c>
      <c r="K43" s="1">
        <v>3916</v>
      </c>
      <c r="L43" s="6">
        <v>4396</v>
      </c>
      <c r="M43" s="6">
        <v>5878</v>
      </c>
      <c r="N43" s="6">
        <v>4560</v>
      </c>
      <c r="O43" s="6">
        <v>4055</v>
      </c>
      <c r="P43" s="6">
        <v>3728</v>
      </c>
      <c r="Q43" s="6">
        <v>3518</v>
      </c>
      <c r="R43" s="6">
        <v>4205</v>
      </c>
      <c r="S43" s="6">
        <v>4204</v>
      </c>
      <c r="T43" s="6">
        <v>3582</v>
      </c>
      <c r="U43" s="6">
        <v>4017</v>
      </c>
      <c r="V43" s="6">
        <v>3465</v>
      </c>
      <c r="W43" s="6">
        <v>3761</v>
      </c>
    </row>
    <row r="44" spans="1:23" ht="20" customHeight="1">
      <c r="A44" s="8" t="s">
        <v>53</v>
      </c>
      <c r="B44" s="1">
        <v>4018</v>
      </c>
      <c r="C44" s="1">
        <v>2694</v>
      </c>
      <c r="D44" s="1">
        <v>3083</v>
      </c>
      <c r="E44" s="1">
        <v>2827</v>
      </c>
      <c r="F44" s="1">
        <v>2810</v>
      </c>
      <c r="G44" s="1">
        <v>3493</v>
      </c>
      <c r="H44" s="1">
        <v>2663</v>
      </c>
      <c r="I44" s="1">
        <v>2862</v>
      </c>
      <c r="J44" s="1">
        <v>2649</v>
      </c>
      <c r="K44" s="1">
        <v>2799</v>
      </c>
      <c r="L44" s="6">
        <v>3257</v>
      </c>
      <c r="M44" s="6">
        <v>4852</v>
      </c>
      <c r="N44" s="6">
        <v>3770</v>
      </c>
      <c r="O44" s="6">
        <v>3030</v>
      </c>
      <c r="P44" s="6">
        <v>2694</v>
      </c>
      <c r="Q44" s="6">
        <v>2344</v>
      </c>
      <c r="R44" s="6">
        <v>3052</v>
      </c>
      <c r="S44" s="6">
        <v>3200</v>
      </c>
      <c r="T44" s="6">
        <v>2964</v>
      </c>
      <c r="U44" s="6">
        <v>3187</v>
      </c>
      <c r="V44" s="6">
        <v>2459</v>
      </c>
      <c r="W44" s="6">
        <v>2791</v>
      </c>
    </row>
    <row r="45" spans="1:23" ht="20" customHeight="1">
      <c r="A45" s="8" t="s">
        <v>54</v>
      </c>
      <c r="B45" s="1">
        <v>4658</v>
      </c>
      <c r="C45" s="1">
        <v>3587</v>
      </c>
      <c r="D45" s="1">
        <v>4128</v>
      </c>
      <c r="E45" s="1">
        <v>4035</v>
      </c>
      <c r="F45" s="1">
        <v>4626</v>
      </c>
      <c r="G45" s="1">
        <v>5472</v>
      </c>
      <c r="H45" s="1">
        <v>7001</v>
      </c>
      <c r="I45" s="1">
        <v>7251</v>
      </c>
      <c r="J45" s="1">
        <v>5827</v>
      </c>
      <c r="K45" s="1">
        <v>5122</v>
      </c>
      <c r="L45" s="6">
        <v>5165</v>
      </c>
      <c r="M45" s="6">
        <v>6376</v>
      </c>
      <c r="N45" s="6">
        <v>4363</v>
      </c>
      <c r="O45" s="6">
        <v>3979</v>
      </c>
      <c r="P45" s="6">
        <v>3722</v>
      </c>
      <c r="Q45" s="6">
        <v>3691</v>
      </c>
      <c r="R45" s="6">
        <v>4624</v>
      </c>
      <c r="S45" s="6">
        <v>4828</v>
      </c>
      <c r="T45" s="6">
        <v>4159</v>
      </c>
      <c r="U45" s="6">
        <v>5087</v>
      </c>
      <c r="V45" s="6">
        <v>3752</v>
      </c>
      <c r="W45" s="6">
        <v>4118</v>
      </c>
    </row>
    <row r="46" spans="1:23" ht="20" customHeight="1">
      <c r="A46" s="8" t="s">
        <v>55</v>
      </c>
      <c r="B46" s="1">
        <v>3570</v>
      </c>
      <c r="C46" s="1">
        <v>2513</v>
      </c>
      <c r="D46" s="1">
        <v>2776</v>
      </c>
      <c r="E46" s="1">
        <v>2586</v>
      </c>
      <c r="F46" s="1">
        <v>2791</v>
      </c>
      <c r="G46" s="1">
        <v>3083</v>
      </c>
      <c r="H46" s="1">
        <v>2710</v>
      </c>
      <c r="I46" s="1">
        <v>2862</v>
      </c>
      <c r="J46" s="1">
        <v>2808</v>
      </c>
      <c r="K46" s="1">
        <v>2543</v>
      </c>
      <c r="L46" s="6">
        <v>3147</v>
      </c>
      <c r="M46" s="6">
        <v>4202</v>
      </c>
      <c r="N46" s="6">
        <v>3351</v>
      </c>
      <c r="O46" s="6">
        <v>2905</v>
      </c>
      <c r="P46" s="6">
        <v>2665</v>
      </c>
      <c r="Q46" s="6">
        <v>2295</v>
      </c>
      <c r="R46" s="6">
        <v>2727</v>
      </c>
      <c r="S46" s="6">
        <v>2958</v>
      </c>
      <c r="T46" s="6">
        <v>2637</v>
      </c>
      <c r="U46" s="6">
        <v>2995</v>
      </c>
      <c r="V46" s="6">
        <v>2452</v>
      </c>
      <c r="W46" s="6">
        <v>2523</v>
      </c>
    </row>
    <row r="47" spans="1:23" ht="20" customHeight="1">
      <c r="A47" s="8" t="s">
        <v>56</v>
      </c>
      <c r="B47" s="1">
        <v>4871</v>
      </c>
      <c r="C47" s="1">
        <v>3300</v>
      </c>
      <c r="D47" s="1">
        <v>3829</v>
      </c>
      <c r="E47" s="1">
        <v>3412</v>
      </c>
      <c r="F47" s="1">
        <v>3510</v>
      </c>
      <c r="G47" s="1">
        <v>4335</v>
      </c>
      <c r="H47" s="1">
        <v>3484</v>
      </c>
      <c r="I47" s="1">
        <v>3552</v>
      </c>
      <c r="J47" s="1">
        <v>3314</v>
      </c>
      <c r="K47" s="1">
        <v>3323</v>
      </c>
      <c r="L47" s="6">
        <v>4152</v>
      </c>
      <c r="M47" s="6">
        <v>6283</v>
      </c>
      <c r="N47" s="6">
        <v>4826</v>
      </c>
      <c r="O47" s="6">
        <v>3918</v>
      </c>
      <c r="P47" s="6">
        <v>3762</v>
      </c>
      <c r="Q47" s="6">
        <v>3549</v>
      </c>
      <c r="R47" s="6">
        <v>3790</v>
      </c>
      <c r="S47" s="6">
        <v>4601</v>
      </c>
      <c r="T47" s="6">
        <v>3751</v>
      </c>
      <c r="U47" s="6">
        <v>4226</v>
      </c>
      <c r="V47" s="6">
        <v>3375</v>
      </c>
      <c r="W47" s="6">
        <v>3709</v>
      </c>
    </row>
    <row r="48" spans="1:23" ht="20" customHeight="1">
      <c r="A48" s="8" t="s">
        <v>57</v>
      </c>
      <c r="B48" s="1">
        <v>7992</v>
      </c>
      <c r="C48" s="1">
        <v>6662</v>
      </c>
      <c r="D48" s="1">
        <v>7274</v>
      </c>
      <c r="E48" s="1">
        <v>6815</v>
      </c>
      <c r="F48" s="1">
        <v>6513</v>
      </c>
      <c r="G48" s="1">
        <v>7001</v>
      </c>
      <c r="H48" s="1">
        <v>5869</v>
      </c>
      <c r="I48" s="1">
        <v>6722</v>
      </c>
      <c r="J48" s="1">
        <v>6424</v>
      </c>
      <c r="K48" s="1">
        <v>6994</v>
      </c>
      <c r="L48" s="6">
        <v>7290</v>
      </c>
      <c r="M48" s="6">
        <v>9557</v>
      </c>
      <c r="N48" s="6">
        <v>7428</v>
      </c>
      <c r="O48" s="6">
        <v>6950</v>
      </c>
      <c r="P48" s="6">
        <v>6375</v>
      </c>
      <c r="Q48" s="6">
        <v>5367</v>
      </c>
      <c r="R48" s="6">
        <v>6774</v>
      </c>
      <c r="S48" s="6">
        <v>6970</v>
      </c>
      <c r="T48" s="6">
        <v>6922</v>
      </c>
      <c r="U48" s="6">
        <v>8683</v>
      </c>
      <c r="V48" s="6">
        <v>6635</v>
      </c>
      <c r="W48" s="6">
        <v>7764</v>
      </c>
    </row>
    <row r="49" spans="1:23" ht="20" customHeight="1">
      <c r="A49" s="8" t="s">
        <v>58</v>
      </c>
      <c r="B49" s="1">
        <v>3771</v>
      </c>
      <c r="C49" s="1">
        <v>3149</v>
      </c>
      <c r="D49" s="1">
        <v>3850</v>
      </c>
      <c r="E49" s="1">
        <v>3424</v>
      </c>
      <c r="F49" s="1">
        <v>3372</v>
      </c>
      <c r="G49" s="1">
        <v>4111</v>
      </c>
      <c r="H49" s="1">
        <v>3226</v>
      </c>
      <c r="I49" s="1">
        <v>3974</v>
      </c>
      <c r="J49" s="1">
        <v>3308</v>
      </c>
      <c r="K49" s="1">
        <v>3796</v>
      </c>
      <c r="L49" s="6">
        <v>4268</v>
      </c>
      <c r="M49" s="6">
        <v>5161</v>
      </c>
      <c r="N49" s="6">
        <v>3174</v>
      </c>
      <c r="O49" s="6">
        <v>3537</v>
      </c>
      <c r="P49" s="6">
        <v>3500</v>
      </c>
      <c r="Q49" s="6">
        <v>2989</v>
      </c>
      <c r="R49" s="6">
        <v>3794</v>
      </c>
      <c r="S49" s="6">
        <v>4223</v>
      </c>
      <c r="T49" s="6">
        <v>3451</v>
      </c>
      <c r="U49" s="6">
        <v>4084</v>
      </c>
      <c r="V49" s="6">
        <v>3234</v>
      </c>
      <c r="W49" s="6">
        <v>3553</v>
      </c>
    </row>
    <row r="50" spans="1:23" ht="20" customHeight="1">
      <c r="A50" s="8" t="s">
        <v>59</v>
      </c>
      <c r="B50" s="1">
        <v>5292</v>
      </c>
      <c r="C50" s="1">
        <v>4060</v>
      </c>
      <c r="D50" s="1">
        <v>4656</v>
      </c>
      <c r="E50" s="1">
        <v>4263</v>
      </c>
      <c r="F50" s="1">
        <v>4218</v>
      </c>
      <c r="G50" s="1">
        <v>4645</v>
      </c>
      <c r="H50" s="1">
        <v>4077</v>
      </c>
      <c r="I50" s="1">
        <v>4496</v>
      </c>
      <c r="J50" s="1">
        <v>4164</v>
      </c>
      <c r="K50" s="1">
        <v>4307</v>
      </c>
      <c r="L50" s="6">
        <v>5079</v>
      </c>
      <c r="M50" s="6">
        <v>5650</v>
      </c>
      <c r="N50" s="6">
        <v>4870</v>
      </c>
      <c r="O50" s="6">
        <v>4632</v>
      </c>
      <c r="P50" s="6">
        <v>4271</v>
      </c>
      <c r="Q50" s="6">
        <v>3726</v>
      </c>
      <c r="R50" s="6">
        <v>4491</v>
      </c>
      <c r="S50" s="6">
        <v>4603</v>
      </c>
      <c r="T50" s="6">
        <v>4241</v>
      </c>
      <c r="U50" s="6">
        <v>4670</v>
      </c>
      <c r="V50" s="6">
        <v>4658</v>
      </c>
      <c r="W50" s="6">
        <v>4159</v>
      </c>
    </row>
    <row r="51" spans="1:23" ht="20" customHeight="1">
      <c r="A51" s="8" t="s">
        <v>60</v>
      </c>
      <c r="B51" s="1">
        <v>2566</v>
      </c>
      <c r="C51" s="1">
        <v>2240</v>
      </c>
      <c r="D51" s="1">
        <v>2458</v>
      </c>
      <c r="E51" s="1">
        <v>2336</v>
      </c>
      <c r="F51" s="1">
        <v>2291</v>
      </c>
      <c r="G51" s="1">
        <v>2519</v>
      </c>
      <c r="H51" s="1">
        <v>2158</v>
      </c>
      <c r="I51" s="1">
        <v>2423</v>
      </c>
      <c r="J51" s="1">
        <v>2298</v>
      </c>
      <c r="K51" s="1">
        <v>2234</v>
      </c>
      <c r="L51" s="6">
        <v>2638</v>
      </c>
      <c r="M51" s="6">
        <v>3067</v>
      </c>
      <c r="N51" s="6">
        <v>2689</v>
      </c>
      <c r="O51" s="6">
        <v>2668</v>
      </c>
      <c r="P51" s="6">
        <v>2389</v>
      </c>
      <c r="Q51" s="6">
        <v>1934</v>
      </c>
      <c r="R51" s="6">
        <v>2303</v>
      </c>
      <c r="S51" s="6">
        <v>2343</v>
      </c>
      <c r="T51" s="6">
        <v>2047</v>
      </c>
      <c r="U51" s="6">
        <v>2165</v>
      </c>
      <c r="V51" s="6">
        <v>1952</v>
      </c>
      <c r="W51" s="6">
        <v>2222</v>
      </c>
    </row>
    <row r="52" spans="1:23" ht="20" customHeight="1">
      <c r="A52" s="8" t="s">
        <v>61</v>
      </c>
      <c r="B52" s="1">
        <v>4272</v>
      </c>
      <c r="C52" s="1">
        <v>3647</v>
      </c>
      <c r="D52" s="1">
        <v>3982</v>
      </c>
      <c r="E52" s="1">
        <v>3866</v>
      </c>
      <c r="F52" s="1">
        <v>4520</v>
      </c>
      <c r="G52" s="1">
        <v>7447</v>
      </c>
      <c r="H52" s="1">
        <v>5614</v>
      </c>
      <c r="I52" s="1">
        <v>5026</v>
      </c>
      <c r="J52" s="1">
        <v>4255</v>
      </c>
      <c r="K52" s="1">
        <v>4131</v>
      </c>
      <c r="L52" s="6">
        <v>4137</v>
      </c>
      <c r="M52" s="6">
        <v>4914</v>
      </c>
      <c r="N52" s="6">
        <v>4400</v>
      </c>
      <c r="O52" s="6">
        <v>4513</v>
      </c>
      <c r="P52" s="6">
        <v>4383</v>
      </c>
      <c r="Q52" s="6">
        <v>3903</v>
      </c>
      <c r="R52" s="6">
        <v>4317</v>
      </c>
      <c r="S52" s="6">
        <v>4312</v>
      </c>
      <c r="T52" s="6">
        <v>3724</v>
      </c>
      <c r="U52" s="6">
        <v>4287</v>
      </c>
      <c r="V52" s="6">
        <v>3941</v>
      </c>
      <c r="W52" s="6">
        <v>4682</v>
      </c>
    </row>
    <row r="53" spans="1:23" ht="20" customHeight="1">
      <c r="A53" s="8" t="s">
        <v>62</v>
      </c>
      <c r="B53" s="1">
        <v>1792</v>
      </c>
      <c r="C53" s="1">
        <v>1255</v>
      </c>
      <c r="D53" s="1">
        <v>1460</v>
      </c>
      <c r="E53" s="1">
        <v>1317</v>
      </c>
      <c r="F53" s="1">
        <v>1369</v>
      </c>
      <c r="G53" s="1">
        <v>1609</v>
      </c>
      <c r="H53" s="1">
        <v>1402</v>
      </c>
      <c r="I53" s="1">
        <v>1491</v>
      </c>
      <c r="J53" s="1">
        <v>1382</v>
      </c>
      <c r="K53" s="1">
        <v>1443</v>
      </c>
      <c r="L53" s="6">
        <v>1725</v>
      </c>
      <c r="M53" s="6">
        <v>2356</v>
      </c>
      <c r="N53" s="6">
        <v>1861</v>
      </c>
      <c r="O53" s="6">
        <v>1595</v>
      </c>
      <c r="P53" s="6">
        <v>1409</v>
      </c>
      <c r="Q53" s="6">
        <v>1143</v>
      </c>
      <c r="R53" s="6">
        <v>1429</v>
      </c>
      <c r="S53" s="6">
        <v>1653</v>
      </c>
      <c r="T53" s="6">
        <v>1394</v>
      </c>
      <c r="U53" s="6">
        <v>1539</v>
      </c>
      <c r="V53" s="6">
        <v>1228</v>
      </c>
      <c r="W53" s="6">
        <v>1363</v>
      </c>
    </row>
    <row r="54" spans="1:23" ht="20" customHeight="1">
      <c r="A54" s="8" t="s">
        <v>63</v>
      </c>
      <c r="B54" s="1">
        <v>2038</v>
      </c>
      <c r="C54" s="1">
        <v>1576</v>
      </c>
      <c r="D54" s="1">
        <v>1588</v>
      </c>
      <c r="E54" s="1">
        <v>1404</v>
      </c>
      <c r="F54" s="1">
        <v>1511</v>
      </c>
      <c r="G54" s="1">
        <v>1693</v>
      </c>
      <c r="H54" s="1">
        <v>1386</v>
      </c>
      <c r="I54" s="1">
        <v>1505</v>
      </c>
      <c r="J54" s="1">
        <v>1510</v>
      </c>
      <c r="K54" s="1">
        <v>1421</v>
      </c>
      <c r="L54" s="6">
        <v>1587</v>
      </c>
      <c r="M54" s="6">
        <v>2050</v>
      </c>
      <c r="N54" s="6">
        <v>1794</v>
      </c>
      <c r="O54" s="6">
        <v>1603</v>
      </c>
      <c r="P54" s="6">
        <v>1347</v>
      </c>
      <c r="Q54" s="6">
        <v>1246</v>
      </c>
      <c r="R54" s="6">
        <v>1514</v>
      </c>
      <c r="S54" s="6">
        <v>1559</v>
      </c>
      <c r="T54" s="6">
        <v>1358</v>
      </c>
      <c r="U54" s="6">
        <v>1462</v>
      </c>
      <c r="V54" s="6">
        <v>1239</v>
      </c>
      <c r="W54" s="6">
        <v>1315</v>
      </c>
    </row>
    <row r="55" spans="1:23" ht="20" customHeight="1">
      <c r="A55" s="8" t="s">
        <v>64</v>
      </c>
      <c r="B55" s="1">
        <v>4063</v>
      </c>
      <c r="C55" s="1">
        <v>3255</v>
      </c>
      <c r="D55" s="1">
        <v>3520</v>
      </c>
      <c r="E55" s="1">
        <v>3234</v>
      </c>
      <c r="F55" s="1">
        <v>3013</v>
      </c>
      <c r="G55" s="1">
        <v>3381</v>
      </c>
      <c r="H55" s="1">
        <v>3084</v>
      </c>
      <c r="I55" s="1">
        <v>3543</v>
      </c>
      <c r="J55" s="1">
        <v>3456</v>
      </c>
      <c r="K55" s="1">
        <v>4152</v>
      </c>
      <c r="L55" s="6">
        <v>3998</v>
      </c>
      <c r="M55" s="6">
        <v>4268</v>
      </c>
      <c r="N55" s="6">
        <v>3818</v>
      </c>
      <c r="O55" s="6">
        <v>3914</v>
      </c>
      <c r="P55" s="6">
        <v>3772</v>
      </c>
      <c r="Q55" s="6">
        <v>2986</v>
      </c>
      <c r="R55" s="6">
        <v>3580</v>
      </c>
      <c r="S55" s="6">
        <v>3762</v>
      </c>
      <c r="T55" s="6">
        <v>3481</v>
      </c>
      <c r="U55" s="6">
        <v>3609</v>
      </c>
      <c r="V55" s="6">
        <v>3284</v>
      </c>
      <c r="W55" s="6">
        <v>3328</v>
      </c>
    </row>
    <row r="56" spans="1:23" ht="20" customHeight="1">
      <c r="A56" s="8" t="s">
        <v>65</v>
      </c>
      <c r="B56" s="1">
        <v>2153</v>
      </c>
      <c r="C56" s="1">
        <v>2024</v>
      </c>
      <c r="D56" s="1">
        <v>2519</v>
      </c>
      <c r="E56" s="1">
        <v>2162</v>
      </c>
      <c r="F56" s="1">
        <v>2122</v>
      </c>
      <c r="G56" s="1">
        <v>2318</v>
      </c>
      <c r="H56" s="1">
        <v>2000</v>
      </c>
      <c r="I56" s="1">
        <v>2212</v>
      </c>
      <c r="J56" s="1">
        <v>2221</v>
      </c>
      <c r="K56" s="1">
        <v>2009</v>
      </c>
      <c r="L56" s="6">
        <v>2136</v>
      </c>
      <c r="M56" s="6">
        <v>2296</v>
      </c>
      <c r="N56" s="6">
        <v>4259</v>
      </c>
      <c r="O56" s="6">
        <v>4928</v>
      </c>
      <c r="P56" s="6">
        <v>3351</v>
      </c>
      <c r="Q56" s="6">
        <v>2610</v>
      </c>
      <c r="R56" s="6">
        <v>2704</v>
      </c>
      <c r="S56" s="6">
        <v>2383</v>
      </c>
      <c r="T56" s="6">
        <v>2159</v>
      </c>
      <c r="U56" s="6">
        <v>2439</v>
      </c>
      <c r="V56" s="6">
        <v>2190</v>
      </c>
      <c r="W56" s="6">
        <v>2181</v>
      </c>
    </row>
    <row r="57" spans="1:23" ht="20" customHeight="1">
      <c r="A57" s="8" t="s">
        <v>66</v>
      </c>
      <c r="B57" s="1">
        <v>4889</v>
      </c>
      <c r="C57" s="1">
        <v>3960</v>
      </c>
      <c r="D57" s="1">
        <v>4553</v>
      </c>
      <c r="E57" s="1">
        <v>4207</v>
      </c>
      <c r="F57" s="1">
        <v>3915</v>
      </c>
      <c r="G57" s="1">
        <v>4234</v>
      </c>
      <c r="H57" s="1">
        <v>3748</v>
      </c>
      <c r="I57" s="1">
        <v>4236</v>
      </c>
      <c r="J57" s="1">
        <v>4205</v>
      </c>
      <c r="K57" s="1">
        <v>4575</v>
      </c>
      <c r="L57" s="6">
        <v>4757</v>
      </c>
      <c r="M57" s="6">
        <v>4701</v>
      </c>
      <c r="N57" s="6">
        <v>4441</v>
      </c>
      <c r="O57" s="6">
        <v>4433</v>
      </c>
      <c r="P57" s="6">
        <v>4395</v>
      </c>
      <c r="Q57" s="6">
        <v>3904</v>
      </c>
      <c r="R57" s="6">
        <v>5310</v>
      </c>
      <c r="S57" s="6">
        <v>4793</v>
      </c>
      <c r="T57" s="6">
        <v>4331</v>
      </c>
      <c r="U57" s="6">
        <v>4729</v>
      </c>
      <c r="V57" s="6">
        <v>4117</v>
      </c>
      <c r="W57" s="6">
        <v>4433</v>
      </c>
    </row>
    <row r="58" spans="1:23" ht="20" customHeight="1">
      <c r="A58" s="8" t="s">
        <v>67</v>
      </c>
      <c r="B58" s="1">
        <v>5655</v>
      </c>
      <c r="C58" s="1">
        <v>4335</v>
      </c>
      <c r="D58" s="1">
        <v>4287</v>
      </c>
      <c r="E58" s="1">
        <v>3845</v>
      </c>
      <c r="F58" s="1">
        <v>6622</v>
      </c>
      <c r="G58" s="1">
        <v>5854</v>
      </c>
      <c r="H58" s="1">
        <v>4078</v>
      </c>
      <c r="I58" s="1">
        <v>4238</v>
      </c>
      <c r="J58" s="1">
        <v>3958</v>
      </c>
      <c r="K58" s="1">
        <v>6119</v>
      </c>
      <c r="L58" s="6">
        <v>6158</v>
      </c>
      <c r="M58" s="6">
        <v>5167</v>
      </c>
      <c r="N58" s="6">
        <v>4689</v>
      </c>
      <c r="O58" s="6">
        <v>6091</v>
      </c>
      <c r="P58" s="6">
        <v>5332</v>
      </c>
      <c r="Q58" s="6">
        <v>4539</v>
      </c>
      <c r="R58" s="6">
        <v>5402</v>
      </c>
      <c r="S58" s="6">
        <v>4762</v>
      </c>
      <c r="T58" s="6">
        <v>5036</v>
      </c>
      <c r="U58" s="6">
        <v>6040</v>
      </c>
      <c r="V58" s="6">
        <v>4631</v>
      </c>
      <c r="W58" s="6">
        <v>4161</v>
      </c>
    </row>
    <row r="59" spans="1:23" ht="20" customHeight="1">
      <c r="A59" s="8" t="s">
        <v>68</v>
      </c>
      <c r="B59" s="1">
        <v>5678</v>
      </c>
      <c r="C59" s="1">
        <v>4143</v>
      </c>
      <c r="D59" s="1">
        <v>4519</v>
      </c>
      <c r="E59" s="1">
        <v>4797</v>
      </c>
      <c r="F59" s="1">
        <v>4918</v>
      </c>
      <c r="G59" s="1">
        <v>5181</v>
      </c>
      <c r="H59" s="1">
        <v>4283</v>
      </c>
      <c r="I59" s="1">
        <v>4773</v>
      </c>
      <c r="J59" s="1">
        <v>9717</v>
      </c>
      <c r="K59" s="1">
        <v>9837</v>
      </c>
      <c r="L59" s="6">
        <v>7053</v>
      </c>
      <c r="M59" s="6">
        <v>5714</v>
      </c>
      <c r="N59" s="6">
        <v>4811</v>
      </c>
      <c r="O59" s="6">
        <v>5089</v>
      </c>
      <c r="P59" s="6">
        <v>4655</v>
      </c>
      <c r="Q59" s="6">
        <v>4149</v>
      </c>
      <c r="R59" s="6">
        <v>4340</v>
      </c>
      <c r="S59" s="6">
        <v>4490</v>
      </c>
      <c r="T59" s="6">
        <v>3845</v>
      </c>
      <c r="U59" s="6">
        <v>4417</v>
      </c>
      <c r="V59" s="6">
        <v>3747</v>
      </c>
      <c r="W59" s="6">
        <v>6476</v>
      </c>
    </row>
    <row r="60" spans="1:23" ht="20" customHeight="1">
      <c r="A60" s="8" t="s">
        <v>69</v>
      </c>
      <c r="B60" s="1">
        <v>9747</v>
      </c>
      <c r="C60" s="1">
        <v>7519</v>
      </c>
      <c r="D60" s="1">
        <v>8849</v>
      </c>
      <c r="E60" s="1">
        <v>7051</v>
      </c>
      <c r="F60" s="1">
        <v>13169</v>
      </c>
      <c r="G60" s="1">
        <v>13005</v>
      </c>
      <c r="H60" s="1">
        <v>10479</v>
      </c>
      <c r="I60" s="1">
        <v>10124</v>
      </c>
      <c r="J60" s="1">
        <v>9045</v>
      </c>
      <c r="K60" s="1">
        <v>7099</v>
      </c>
      <c r="L60" s="6">
        <v>7437</v>
      </c>
      <c r="M60" s="6">
        <v>8596</v>
      </c>
      <c r="N60" s="6">
        <v>8410</v>
      </c>
      <c r="O60" s="6">
        <v>7823</v>
      </c>
      <c r="P60" s="6">
        <v>6612</v>
      </c>
      <c r="Q60" s="6">
        <v>5648</v>
      </c>
      <c r="R60" s="6">
        <v>6381</v>
      </c>
      <c r="S60" s="6">
        <v>6419</v>
      </c>
      <c r="T60" s="6">
        <v>5490</v>
      </c>
      <c r="U60" s="6">
        <v>6405</v>
      </c>
      <c r="V60" s="6">
        <v>5564</v>
      </c>
      <c r="W60" s="6">
        <v>7647</v>
      </c>
    </row>
    <row r="61" spans="1:23" ht="20" customHeight="1">
      <c r="A61" s="8" t="s">
        <v>70</v>
      </c>
      <c r="B61" s="1">
        <v>6797</v>
      </c>
      <c r="C61" s="1">
        <v>4421</v>
      </c>
      <c r="D61" s="1">
        <v>4959</v>
      </c>
      <c r="E61" s="1">
        <v>4377</v>
      </c>
      <c r="F61" s="1">
        <v>4358</v>
      </c>
      <c r="G61" s="1">
        <v>4615</v>
      </c>
      <c r="H61" s="1">
        <v>3978</v>
      </c>
      <c r="I61" s="1">
        <v>5626</v>
      </c>
      <c r="J61" s="1">
        <v>5606</v>
      </c>
      <c r="K61" s="1">
        <v>5329</v>
      </c>
      <c r="L61" s="6">
        <v>5186</v>
      </c>
      <c r="M61" s="6">
        <v>5754</v>
      </c>
      <c r="N61" s="6">
        <v>5026</v>
      </c>
      <c r="O61" s="6">
        <v>4660</v>
      </c>
      <c r="P61" s="6">
        <v>4117</v>
      </c>
      <c r="Q61" s="6">
        <v>4236</v>
      </c>
      <c r="R61" s="6">
        <v>6798</v>
      </c>
      <c r="S61" s="6">
        <v>6341</v>
      </c>
      <c r="T61" s="6">
        <v>4921</v>
      </c>
      <c r="U61" s="6">
        <v>4881</v>
      </c>
      <c r="V61" s="6">
        <v>3850</v>
      </c>
      <c r="W61" s="6">
        <v>3765</v>
      </c>
    </row>
    <row r="62" spans="1:23" ht="20" customHeight="1">
      <c r="A62" s="8" t="s">
        <v>71</v>
      </c>
      <c r="B62" s="1">
        <v>2335</v>
      </c>
      <c r="C62" s="1">
        <v>3229</v>
      </c>
      <c r="D62" s="1">
        <v>2968</v>
      </c>
      <c r="E62" s="1">
        <v>2060</v>
      </c>
      <c r="F62" s="1">
        <v>2123</v>
      </c>
      <c r="G62" s="1">
        <v>2209</v>
      </c>
      <c r="H62" s="1">
        <v>2016</v>
      </c>
      <c r="I62" s="1">
        <v>2308</v>
      </c>
      <c r="J62" s="1">
        <v>2086</v>
      </c>
      <c r="K62" s="1">
        <v>2153</v>
      </c>
      <c r="L62" s="6">
        <v>2494</v>
      </c>
      <c r="M62" s="6">
        <v>4506</v>
      </c>
      <c r="N62" s="6">
        <v>2907</v>
      </c>
      <c r="O62" s="6">
        <v>2345</v>
      </c>
      <c r="P62" s="6">
        <v>2223</v>
      </c>
      <c r="Q62" s="6">
        <v>3061</v>
      </c>
      <c r="R62" s="6">
        <v>2725</v>
      </c>
      <c r="S62" s="6">
        <v>2226</v>
      </c>
      <c r="T62" s="6">
        <v>1958</v>
      </c>
      <c r="U62" s="6">
        <v>2235</v>
      </c>
      <c r="V62" s="6">
        <v>2289</v>
      </c>
      <c r="W62" s="6">
        <v>2469</v>
      </c>
    </row>
  </sheetData>
  <autoFilter ref="B1:K62" xr:uid="{00000000-0001-0000-0000-000000000000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DDEE9-BFD9-A846-8DB3-20F35A8B53E5}">
  <dimension ref="A1:W62"/>
  <sheetViews>
    <sheetView tabSelected="1" zoomScale="65" zoomScaleNormal="65" workbookViewId="0">
      <selection activeCell="H25" sqref="H25"/>
    </sheetView>
  </sheetViews>
  <sheetFormatPr baseColWidth="10" defaultColWidth="20.83203125" defaultRowHeight="17"/>
  <cols>
    <col min="1" max="1" width="20.83203125" style="9"/>
    <col min="12" max="23" width="20.83203125" style="2"/>
  </cols>
  <sheetData>
    <row r="1" spans="1:23" s="13" customFormat="1" ht="20" customHeight="1">
      <c r="A1" s="11" t="s">
        <v>1</v>
      </c>
      <c r="B1" s="12" t="s">
        <v>2</v>
      </c>
      <c r="C1" s="12" t="s">
        <v>3</v>
      </c>
      <c r="D1" s="12" t="s">
        <v>4</v>
      </c>
      <c r="E1" s="12" t="s">
        <v>5</v>
      </c>
      <c r="F1" s="12" t="s">
        <v>6</v>
      </c>
      <c r="G1" s="12" t="s">
        <v>7</v>
      </c>
      <c r="H1" s="12" t="s">
        <v>8</v>
      </c>
      <c r="I1" s="12" t="s">
        <v>9</v>
      </c>
      <c r="J1" s="12" t="s">
        <v>10</v>
      </c>
      <c r="K1" s="12" t="s">
        <v>11</v>
      </c>
      <c r="L1" s="12" t="s">
        <v>73</v>
      </c>
      <c r="M1" s="12" t="s">
        <v>74</v>
      </c>
      <c r="N1" s="12" t="s">
        <v>75</v>
      </c>
      <c r="O1" s="12" t="s">
        <v>76</v>
      </c>
      <c r="P1" s="12" t="s">
        <v>77</v>
      </c>
      <c r="Q1" s="12" t="s">
        <v>78</v>
      </c>
      <c r="R1" s="12" t="s">
        <v>79</v>
      </c>
      <c r="S1" s="12" t="s">
        <v>80</v>
      </c>
      <c r="T1" s="12" t="s">
        <v>81</v>
      </c>
      <c r="U1" s="12" t="s">
        <v>82</v>
      </c>
      <c r="V1" s="12" t="s">
        <v>83</v>
      </c>
      <c r="W1" s="12" t="s">
        <v>84</v>
      </c>
    </row>
    <row r="2" spans="1:23" ht="20" customHeight="1">
      <c r="A2" s="8" t="s">
        <v>12</v>
      </c>
      <c r="B2" s="1">
        <v>-57</v>
      </c>
      <c r="C2" s="1">
        <v>-30</v>
      </c>
      <c r="D2" s="1">
        <v>-22</v>
      </c>
      <c r="E2" s="1">
        <v>-25</v>
      </c>
      <c r="F2" s="1">
        <v>16</v>
      </c>
      <c r="G2" s="1">
        <v>85</v>
      </c>
      <c r="H2" s="1">
        <v>246</v>
      </c>
      <c r="I2" s="1">
        <v>208</v>
      </c>
      <c r="J2" s="1">
        <v>54</v>
      </c>
      <c r="K2" s="1">
        <v>212</v>
      </c>
      <c r="L2" s="6">
        <v>24</v>
      </c>
      <c r="M2" s="6">
        <v>8</v>
      </c>
      <c r="N2" s="6">
        <v>48</v>
      </c>
      <c r="O2" s="6">
        <v>79</v>
      </c>
      <c r="P2" s="6">
        <v>149</v>
      </c>
      <c r="Q2" s="6">
        <v>43</v>
      </c>
      <c r="R2" s="6">
        <v>67</v>
      </c>
      <c r="S2" s="6">
        <v>109</v>
      </c>
      <c r="T2" s="6">
        <v>8</v>
      </c>
      <c r="U2" s="6">
        <v>48</v>
      </c>
      <c r="V2" s="6">
        <v>40</v>
      </c>
      <c r="W2" s="6">
        <v>59</v>
      </c>
    </row>
    <row r="3" spans="1:23" ht="20" customHeight="1">
      <c r="A3" s="8" t="s">
        <v>13</v>
      </c>
      <c r="B3" s="1">
        <v>-184</v>
      </c>
      <c r="C3" s="1">
        <v>119</v>
      </c>
      <c r="D3" s="1">
        <v>-52</v>
      </c>
      <c r="E3" s="1">
        <v>-151</v>
      </c>
      <c r="F3" s="1">
        <v>-554</v>
      </c>
      <c r="G3" s="1">
        <v>-447</v>
      </c>
      <c r="H3" s="1">
        <v>-210</v>
      </c>
      <c r="I3" s="1">
        <v>-229</v>
      </c>
      <c r="J3" s="1">
        <v>-444</v>
      </c>
      <c r="K3" s="1">
        <v>-92</v>
      </c>
      <c r="L3" s="6">
        <v>-1062</v>
      </c>
      <c r="M3" s="6">
        <v>-1199</v>
      </c>
      <c r="N3" s="6">
        <v>-1080</v>
      </c>
      <c r="O3" s="6">
        <v>8</v>
      </c>
      <c r="P3" s="6">
        <v>531</v>
      </c>
      <c r="Q3" s="6">
        <v>316</v>
      </c>
      <c r="R3" s="6">
        <v>-234</v>
      </c>
      <c r="S3" s="6">
        <v>-239</v>
      </c>
      <c r="T3" s="6">
        <v>-63</v>
      </c>
      <c r="U3" s="6">
        <v>-182</v>
      </c>
      <c r="V3" s="6">
        <v>-411</v>
      </c>
      <c r="W3" s="6">
        <v>-435</v>
      </c>
    </row>
    <row r="4" spans="1:23" ht="20" customHeight="1">
      <c r="A4" s="8" t="s">
        <v>14</v>
      </c>
      <c r="B4" s="1">
        <v>90</v>
      </c>
      <c r="C4" s="1">
        <v>247</v>
      </c>
      <c r="D4" s="1">
        <v>444</v>
      </c>
      <c r="E4" s="1">
        <v>394</v>
      </c>
      <c r="F4" s="1">
        <v>1003</v>
      </c>
      <c r="G4" s="1">
        <v>416</v>
      </c>
      <c r="H4" s="1">
        <v>-3</v>
      </c>
      <c r="I4" s="1">
        <v>-186</v>
      </c>
      <c r="J4" s="1">
        <v>-140</v>
      </c>
      <c r="K4" s="1">
        <v>-32</v>
      </c>
      <c r="L4" s="6">
        <v>41</v>
      </c>
      <c r="M4" s="6">
        <v>655</v>
      </c>
      <c r="N4" s="6">
        <v>1084</v>
      </c>
      <c r="O4" s="6">
        <v>472</v>
      </c>
      <c r="P4" s="6">
        <v>904</v>
      </c>
      <c r="Q4" s="6">
        <v>632</v>
      </c>
      <c r="R4" s="6">
        <v>159</v>
      </c>
      <c r="S4" s="6">
        <v>142</v>
      </c>
      <c r="T4" s="6">
        <v>52</v>
      </c>
      <c r="U4" s="6">
        <v>57</v>
      </c>
      <c r="V4" s="6">
        <v>24</v>
      </c>
      <c r="W4" s="6">
        <v>-53</v>
      </c>
    </row>
    <row r="5" spans="1:23" ht="20" customHeight="1">
      <c r="A5" s="8" t="s">
        <v>15</v>
      </c>
      <c r="B5" s="1">
        <v>-1379</v>
      </c>
      <c r="C5" s="1">
        <v>-1348</v>
      </c>
      <c r="D5" s="1">
        <v>-1053</v>
      </c>
      <c r="E5" s="1">
        <v>-988</v>
      </c>
      <c r="F5" s="1">
        <v>-876</v>
      </c>
      <c r="G5" s="1">
        <v>-562</v>
      </c>
      <c r="H5" s="1">
        <v>-292</v>
      </c>
      <c r="I5" s="1">
        <v>167</v>
      </c>
      <c r="J5" s="1">
        <v>103</v>
      </c>
      <c r="K5" s="1">
        <v>-96</v>
      </c>
      <c r="L5" s="6">
        <v>-246</v>
      </c>
      <c r="M5" s="6">
        <v>-440</v>
      </c>
      <c r="N5" s="6">
        <v>-291</v>
      </c>
      <c r="O5" s="6">
        <v>-266</v>
      </c>
      <c r="P5" s="6">
        <v>-260</v>
      </c>
      <c r="Q5" s="6">
        <v>-281</v>
      </c>
      <c r="R5" s="6">
        <v>-327</v>
      </c>
      <c r="S5" s="6">
        <v>-272</v>
      </c>
      <c r="T5" s="6">
        <v>-320</v>
      </c>
      <c r="U5" s="6">
        <v>-261</v>
      </c>
      <c r="V5" s="6">
        <v>530</v>
      </c>
      <c r="W5" s="6">
        <v>434</v>
      </c>
    </row>
    <row r="6" spans="1:23" ht="20" customHeight="1">
      <c r="A6" s="8" t="s">
        <v>0</v>
      </c>
      <c r="B6" s="1">
        <v>-42</v>
      </c>
      <c r="C6" s="1">
        <v>-111</v>
      </c>
      <c r="D6" s="1">
        <v>234</v>
      </c>
      <c r="E6" s="1">
        <v>433</v>
      </c>
      <c r="F6" s="1">
        <v>271</v>
      </c>
      <c r="G6" s="1">
        <v>185</v>
      </c>
      <c r="H6" s="1">
        <v>-84</v>
      </c>
      <c r="I6" s="1">
        <v>-138</v>
      </c>
      <c r="J6" s="1">
        <v>-303</v>
      </c>
      <c r="K6" s="1">
        <v>-24</v>
      </c>
      <c r="L6" s="6">
        <v>467</v>
      </c>
      <c r="M6" s="6">
        <v>207</v>
      </c>
      <c r="N6" s="6">
        <v>306</v>
      </c>
      <c r="O6" s="6">
        <v>538</v>
      </c>
      <c r="P6" s="6">
        <v>113</v>
      </c>
      <c r="Q6" s="6">
        <v>283</v>
      </c>
      <c r="R6" s="6">
        <v>862</v>
      </c>
      <c r="S6" s="6">
        <v>834</v>
      </c>
      <c r="T6" s="6">
        <v>1048</v>
      </c>
      <c r="U6" s="6">
        <v>1194</v>
      </c>
      <c r="V6" s="6">
        <v>484</v>
      </c>
      <c r="W6" s="6">
        <v>-142</v>
      </c>
    </row>
    <row r="7" spans="1:23" ht="20" customHeight="1">
      <c r="A7" s="8" t="s">
        <v>16</v>
      </c>
      <c r="B7" s="1">
        <v>289</v>
      </c>
      <c r="C7" s="1">
        <v>-26</v>
      </c>
      <c r="D7" s="1">
        <v>-134</v>
      </c>
      <c r="E7" s="1">
        <v>-159</v>
      </c>
      <c r="F7" s="1">
        <v>-120</v>
      </c>
      <c r="G7" s="1">
        <v>-249</v>
      </c>
      <c r="H7" s="1">
        <v>-117</v>
      </c>
      <c r="I7" s="1">
        <v>-205</v>
      </c>
      <c r="J7" s="1">
        <v>-299</v>
      </c>
      <c r="K7" s="1">
        <v>-162</v>
      </c>
      <c r="L7" s="6">
        <v>-227</v>
      </c>
      <c r="M7" s="6">
        <v>-221</v>
      </c>
      <c r="N7" s="6">
        <v>-292</v>
      </c>
      <c r="O7" s="6">
        <v>-101</v>
      </c>
      <c r="P7" s="6">
        <v>-50</v>
      </c>
      <c r="Q7" s="6">
        <v>237</v>
      </c>
      <c r="R7" s="6">
        <v>136</v>
      </c>
      <c r="S7" s="6">
        <v>116</v>
      </c>
      <c r="T7" s="6">
        <v>92</v>
      </c>
      <c r="U7" s="6">
        <v>212</v>
      </c>
      <c r="V7" s="6">
        <v>81</v>
      </c>
      <c r="W7" s="6">
        <v>118</v>
      </c>
    </row>
    <row r="8" spans="1:23" ht="20" customHeight="1">
      <c r="A8" s="8" t="s">
        <v>17</v>
      </c>
      <c r="B8" s="1">
        <v>-413</v>
      </c>
      <c r="C8" s="1">
        <v>-404</v>
      </c>
      <c r="D8" s="1">
        <v>-255</v>
      </c>
      <c r="E8" s="1">
        <v>-388</v>
      </c>
      <c r="F8" s="1">
        <v>-413</v>
      </c>
      <c r="G8" s="1">
        <v>-343</v>
      </c>
      <c r="H8" s="1">
        <v>-502</v>
      </c>
      <c r="I8" s="1">
        <v>-399</v>
      </c>
      <c r="J8" s="1">
        <v>-636</v>
      </c>
      <c r="K8" s="1">
        <v>-649</v>
      </c>
      <c r="L8" s="6">
        <v>-490</v>
      </c>
      <c r="M8" s="6">
        <v>-506</v>
      </c>
      <c r="N8" s="6">
        <v>-347</v>
      </c>
      <c r="O8" s="6">
        <v>-200</v>
      </c>
      <c r="P8" s="6">
        <v>-277</v>
      </c>
      <c r="Q8" s="6">
        <v>-321</v>
      </c>
      <c r="R8" s="6">
        <v>-512</v>
      </c>
      <c r="S8" s="6">
        <v>-388</v>
      </c>
      <c r="T8" s="6">
        <v>-584</v>
      </c>
      <c r="U8" s="6">
        <v>-626</v>
      </c>
      <c r="V8" s="6">
        <v>-444</v>
      </c>
      <c r="W8" s="6">
        <v>-471</v>
      </c>
    </row>
    <row r="9" spans="1:23" ht="20" customHeight="1">
      <c r="A9" s="8" t="s">
        <v>18</v>
      </c>
      <c r="B9" s="1">
        <v>-102</v>
      </c>
      <c r="C9" s="1">
        <v>-111</v>
      </c>
      <c r="D9" s="1">
        <v>514</v>
      </c>
      <c r="E9" s="1">
        <v>619</v>
      </c>
      <c r="F9" s="1">
        <v>295</v>
      </c>
      <c r="G9" s="1">
        <v>-122</v>
      </c>
      <c r="H9" s="1">
        <v>-153</v>
      </c>
      <c r="I9" s="1">
        <v>92</v>
      </c>
      <c r="J9" s="1">
        <v>133</v>
      </c>
      <c r="K9" s="1">
        <v>6</v>
      </c>
      <c r="L9" s="6">
        <v>-125</v>
      </c>
      <c r="M9" s="6">
        <v>-340</v>
      </c>
      <c r="N9" s="6">
        <v>-210</v>
      </c>
      <c r="O9" s="6">
        <v>-66</v>
      </c>
      <c r="P9" s="6">
        <v>221</v>
      </c>
      <c r="Q9" s="6">
        <v>245</v>
      </c>
      <c r="R9" s="6">
        <v>36</v>
      </c>
      <c r="S9" s="6">
        <v>175</v>
      </c>
      <c r="T9" s="6">
        <v>-59</v>
      </c>
      <c r="U9" s="6">
        <v>194</v>
      </c>
      <c r="V9" s="6">
        <v>343</v>
      </c>
      <c r="W9" s="6">
        <v>-47</v>
      </c>
    </row>
    <row r="10" spans="1:23" ht="20" customHeight="1">
      <c r="A10" s="8" t="s">
        <v>19</v>
      </c>
      <c r="B10" s="1">
        <v>-793</v>
      </c>
      <c r="C10" s="1">
        <v>-79</v>
      </c>
      <c r="D10" s="1">
        <v>-465</v>
      </c>
      <c r="E10" s="1">
        <v>-508</v>
      </c>
      <c r="F10" s="1">
        <v>-828</v>
      </c>
      <c r="G10" s="1">
        <v>-507</v>
      </c>
      <c r="H10" s="1">
        <v>-526</v>
      </c>
      <c r="I10" s="1">
        <v>-149</v>
      </c>
      <c r="J10" s="1">
        <v>160</v>
      </c>
      <c r="K10" s="1">
        <v>337</v>
      </c>
      <c r="L10" s="6">
        <v>377</v>
      </c>
      <c r="M10" s="6">
        <v>91</v>
      </c>
      <c r="N10" s="6">
        <v>422</v>
      </c>
      <c r="O10" s="6">
        <v>504</v>
      </c>
      <c r="P10" s="6">
        <v>230</v>
      </c>
      <c r="Q10" s="6">
        <v>-39</v>
      </c>
      <c r="R10" s="6">
        <v>-2</v>
      </c>
      <c r="S10" s="6">
        <v>-99</v>
      </c>
      <c r="T10" s="6">
        <v>-210</v>
      </c>
      <c r="U10" s="6">
        <v>175</v>
      </c>
      <c r="V10" s="6">
        <v>-80</v>
      </c>
      <c r="W10" s="6">
        <v>-20</v>
      </c>
    </row>
    <row r="11" spans="1:23" ht="20" customHeight="1">
      <c r="A11" s="8" t="s">
        <v>20</v>
      </c>
      <c r="B11" s="1">
        <v>-267</v>
      </c>
      <c r="C11" s="1">
        <v>-78</v>
      </c>
      <c r="D11" s="1">
        <v>-321</v>
      </c>
      <c r="E11" s="1">
        <v>-381</v>
      </c>
      <c r="F11" s="1">
        <v>-307</v>
      </c>
      <c r="G11" s="1">
        <v>-113</v>
      </c>
      <c r="H11" s="1">
        <v>-90</v>
      </c>
      <c r="I11" s="1">
        <v>-184</v>
      </c>
      <c r="J11" s="1">
        <v>21</v>
      </c>
      <c r="K11" s="1">
        <v>-102</v>
      </c>
      <c r="L11" s="6">
        <v>-34</v>
      </c>
      <c r="M11" s="6">
        <v>-236</v>
      </c>
      <c r="N11" s="6">
        <v>-296</v>
      </c>
      <c r="O11" s="6">
        <v>-75</v>
      </c>
      <c r="P11" s="6">
        <v>-124</v>
      </c>
      <c r="Q11" s="6">
        <v>-24</v>
      </c>
      <c r="R11" s="6">
        <v>-130</v>
      </c>
      <c r="S11" s="6">
        <v>-113</v>
      </c>
      <c r="T11" s="6">
        <v>-7</v>
      </c>
      <c r="U11" s="6">
        <v>-119</v>
      </c>
      <c r="V11" s="6">
        <v>11</v>
      </c>
      <c r="W11" s="6">
        <v>4</v>
      </c>
    </row>
    <row r="12" spans="1:23" ht="20" customHeight="1">
      <c r="A12" s="8" t="s">
        <v>21</v>
      </c>
      <c r="B12" s="1">
        <v>150</v>
      </c>
      <c r="C12" s="1">
        <v>372</v>
      </c>
      <c r="D12" s="1">
        <v>-281</v>
      </c>
      <c r="E12" s="1">
        <v>-514</v>
      </c>
      <c r="F12" s="1">
        <v>-816</v>
      </c>
      <c r="G12" s="1">
        <v>-977</v>
      </c>
      <c r="H12" s="1">
        <v>-1091</v>
      </c>
      <c r="I12" s="1">
        <v>-1099</v>
      </c>
      <c r="J12" s="1">
        <v>-1475</v>
      </c>
      <c r="K12" s="1">
        <v>-1105</v>
      </c>
      <c r="L12" s="6">
        <v>-1027</v>
      </c>
      <c r="M12" s="6">
        <v>-1227</v>
      </c>
      <c r="N12" s="6">
        <v>-1122</v>
      </c>
      <c r="O12" s="6">
        <v>-798</v>
      </c>
      <c r="P12" s="6">
        <v>-411</v>
      </c>
      <c r="Q12" s="6">
        <v>-579</v>
      </c>
      <c r="R12" s="6">
        <v>-808</v>
      </c>
      <c r="S12" s="6">
        <v>-585</v>
      </c>
      <c r="T12" s="6">
        <v>-499</v>
      </c>
      <c r="U12" s="6">
        <v>-970</v>
      </c>
      <c r="V12" s="6">
        <v>-510</v>
      </c>
      <c r="W12" s="6">
        <v>-813</v>
      </c>
    </row>
    <row r="13" spans="1:23" ht="20" customHeight="1">
      <c r="A13" s="8" t="s">
        <v>22</v>
      </c>
      <c r="B13" s="1">
        <v>-668</v>
      </c>
      <c r="C13" s="1">
        <v>-95</v>
      </c>
      <c r="D13" s="1">
        <v>-448</v>
      </c>
      <c r="E13" s="1">
        <v>-1471</v>
      </c>
      <c r="F13" s="1">
        <v>-1674</v>
      </c>
      <c r="G13" s="1">
        <v>-1619</v>
      </c>
      <c r="H13" s="1">
        <v>-698</v>
      </c>
      <c r="I13" s="1">
        <v>-2</v>
      </c>
      <c r="J13" s="1">
        <v>1657</v>
      </c>
      <c r="K13" s="1">
        <v>1051</v>
      </c>
      <c r="L13" s="6">
        <v>170</v>
      </c>
      <c r="M13" s="6">
        <v>49</v>
      </c>
      <c r="N13" s="6">
        <v>-386</v>
      </c>
      <c r="O13" s="6">
        <v>-785</v>
      </c>
      <c r="P13" s="6">
        <v>-996</v>
      </c>
      <c r="Q13" s="6">
        <v>-532</v>
      </c>
      <c r="R13" s="6">
        <v>-601</v>
      </c>
      <c r="S13" s="6">
        <v>-754</v>
      </c>
      <c r="T13" s="6">
        <v>-1098</v>
      </c>
      <c r="U13" s="6">
        <v>-598</v>
      </c>
      <c r="V13" s="6">
        <v>-310</v>
      </c>
      <c r="W13" s="6">
        <v>-786</v>
      </c>
    </row>
    <row r="14" spans="1:23" ht="20" customHeight="1">
      <c r="A14" s="8" t="s">
        <v>23</v>
      </c>
      <c r="B14" s="1">
        <v>-568</v>
      </c>
      <c r="C14" s="1">
        <v>-546</v>
      </c>
      <c r="D14" s="1">
        <v>-375</v>
      </c>
      <c r="E14" s="1">
        <v>436</v>
      </c>
      <c r="F14" s="1">
        <v>934</v>
      </c>
      <c r="G14" s="1">
        <v>2104</v>
      </c>
      <c r="H14" s="1">
        <v>510</v>
      </c>
      <c r="I14" s="1">
        <v>1175</v>
      </c>
      <c r="J14" s="1">
        <v>513</v>
      </c>
      <c r="K14" s="1">
        <v>20</v>
      </c>
      <c r="L14" s="6">
        <v>-110</v>
      </c>
      <c r="M14" s="6">
        <v>-391</v>
      </c>
      <c r="N14" s="6">
        <v>30</v>
      </c>
      <c r="O14" s="6">
        <v>54</v>
      </c>
      <c r="P14" s="6">
        <v>205</v>
      </c>
      <c r="Q14" s="6">
        <v>-469</v>
      </c>
      <c r="R14" s="6">
        <v>-429</v>
      </c>
      <c r="S14" s="6">
        <v>-478</v>
      </c>
      <c r="T14" s="6">
        <v>-1358</v>
      </c>
      <c r="U14" s="6">
        <v>-1155</v>
      </c>
      <c r="V14" s="6">
        <v>-565</v>
      </c>
      <c r="W14" s="6">
        <v>-523</v>
      </c>
    </row>
    <row r="15" spans="1:23" ht="20" customHeight="1">
      <c r="A15" s="8" t="s">
        <v>24</v>
      </c>
      <c r="B15" s="1">
        <v>2146</v>
      </c>
      <c r="C15" s="1">
        <v>647</v>
      </c>
      <c r="D15" s="1">
        <v>150</v>
      </c>
      <c r="E15" s="1">
        <v>54</v>
      </c>
      <c r="F15" s="1">
        <v>-170</v>
      </c>
      <c r="G15" s="1">
        <v>-225</v>
      </c>
      <c r="H15" s="1">
        <v>-43</v>
      </c>
      <c r="I15" s="1">
        <v>523</v>
      </c>
      <c r="J15" s="1">
        <v>758</v>
      </c>
      <c r="K15" s="1">
        <v>29</v>
      </c>
      <c r="L15" s="6">
        <v>-493</v>
      </c>
      <c r="M15" s="6">
        <v>-554</v>
      </c>
      <c r="N15" s="6">
        <v>224</v>
      </c>
      <c r="O15" s="6">
        <v>-151</v>
      </c>
      <c r="P15" s="6">
        <v>-289</v>
      </c>
      <c r="Q15" s="6">
        <v>-219</v>
      </c>
      <c r="R15" s="6">
        <v>-445</v>
      </c>
      <c r="S15" s="6">
        <v>-70</v>
      </c>
      <c r="T15" s="6">
        <v>84</v>
      </c>
      <c r="U15" s="6">
        <v>-31</v>
      </c>
      <c r="V15" s="6">
        <v>-100</v>
      </c>
      <c r="W15" s="6">
        <v>-526</v>
      </c>
    </row>
    <row r="16" spans="1:23" ht="20" customHeight="1">
      <c r="A16" s="8" t="s">
        <v>25</v>
      </c>
      <c r="B16" s="1">
        <v>-1093</v>
      </c>
      <c r="C16" s="1">
        <v>-803</v>
      </c>
      <c r="D16" s="1">
        <v>-838</v>
      </c>
      <c r="E16" s="1">
        <v>-621</v>
      </c>
      <c r="F16" s="1">
        <v>-904</v>
      </c>
      <c r="G16" s="1">
        <v>-831</v>
      </c>
      <c r="H16" s="1">
        <v>-852</v>
      </c>
      <c r="I16" s="1">
        <v>-1008</v>
      </c>
      <c r="J16" s="1">
        <v>-1270</v>
      </c>
      <c r="K16" s="1">
        <v>-1333</v>
      </c>
      <c r="L16" s="6">
        <v>-882</v>
      </c>
      <c r="M16" s="6">
        <v>-813</v>
      </c>
      <c r="N16" s="6">
        <v>-559</v>
      </c>
      <c r="O16" s="6">
        <v>-804</v>
      </c>
      <c r="P16" s="6">
        <v>-444</v>
      </c>
      <c r="Q16" s="6">
        <v>-534</v>
      </c>
      <c r="R16" s="6">
        <v>-485</v>
      </c>
      <c r="S16" s="6">
        <v>-762</v>
      </c>
      <c r="T16" s="6">
        <v>-726</v>
      </c>
      <c r="U16" s="6">
        <v>-1001</v>
      </c>
      <c r="V16" s="6">
        <v>-555</v>
      </c>
      <c r="W16" s="6">
        <v>-934</v>
      </c>
    </row>
    <row r="17" spans="1:23" ht="20" customHeight="1">
      <c r="A17" s="8" t="s">
        <v>26</v>
      </c>
      <c r="B17" s="1">
        <v>-313</v>
      </c>
      <c r="C17" s="1">
        <v>-621</v>
      </c>
      <c r="D17" s="1">
        <v>-624</v>
      </c>
      <c r="E17" s="1">
        <v>-275</v>
      </c>
      <c r="F17" s="1">
        <v>-558</v>
      </c>
      <c r="G17" s="1">
        <v>-415</v>
      </c>
      <c r="H17" s="1">
        <v>-629</v>
      </c>
      <c r="I17" s="1">
        <v>-394</v>
      </c>
      <c r="J17" s="1">
        <v>-439</v>
      </c>
      <c r="K17" s="1">
        <v>1048</v>
      </c>
      <c r="L17" s="6">
        <v>1336</v>
      </c>
      <c r="M17" s="6">
        <v>467</v>
      </c>
      <c r="N17" s="6">
        <v>-222</v>
      </c>
      <c r="O17" s="6">
        <v>-217</v>
      </c>
      <c r="P17" s="6">
        <v>-50</v>
      </c>
      <c r="Q17" s="6">
        <v>275</v>
      </c>
      <c r="R17" s="6">
        <v>1362</v>
      </c>
      <c r="S17" s="6">
        <v>1472</v>
      </c>
      <c r="T17" s="6">
        <v>1627</v>
      </c>
      <c r="U17" s="6">
        <v>1571</v>
      </c>
      <c r="V17" s="6">
        <v>1663</v>
      </c>
      <c r="W17" s="6">
        <v>1773</v>
      </c>
    </row>
    <row r="18" spans="1:23" ht="20" customHeight="1">
      <c r="A18" s="8" t="s">
        <v>27</v>
      </c>
      <c r="B18" s="1">
        <v>2176</v>
      </c>
      <c r="C18" s="1">
        <v>1546</v>
      </c>
      <c r="D18" s="1">
        <v>2949</v>
      </c>
      <c r="E18" s="1">
        <v>3296</v>
      </c>
      <c r="F18" s="1">
        <v>2273</v>
      </c>
      <c r="G18" s="1">
        <v>1632</v>
      </c>
      <c r="H18" s="1">
        <v>1301</v>
      </c>
      <c r="I18" s="1">
        <v>1632</v>
      </c>
      <c r="J18" s="1">
        <v>1356</v>
      </c>
      <c r="K18" s="1">
        <v>1606</v>
      </c>
      <c r="L18" s="6">
        <v>1648</v>
      </c>
      <c r="M18" s="6">
        <v>2752</v>
      </c>
      <c r="N18" s="6">
        <v>2944</v>
      </c>
      <c r="O18" s="6">
        <v>1698</v>
      </c>
      <c r="P18" s="6">
        <v>1593</v>
      </c>
      <c r="Q18" s="6">
        <v>1666</v>
      </c>
      <c r="R18" s="6">
        <v>1999</v>
      </c>
      <c r="S18" s="6">
        <v>2210</v>
      </c>
      <c r="T18" s="6">
        <v>1499</v>
      </c>
      <c r="U18" s="6">
        <v>1425</v>
      </c>
      <c r="V18" s="6">
        <v>1017</v>
      </c>
      <c r="W18" s="6">
        <v>748</v>
      </c>
    </row>
    <row r="19" spans="1:23" ht="20" customHeight="1">
      <c r="A19" s="8" t="s">
        <v>28</v>
      </c>
      <c r="B19" s="1">
        <v>242</v>
      </c>
      <c r="C19" s="1">
        <v>158</v>
      </c>
      <c r="D19" s="1">
        <v>240</v>
      </c>
      <c r="E19" s="1">
        <v>190</v>
      </c>
      <c r="F19" s="1">
        <v>364</v>
      </c>
      <c r="G19" s="1">
        <v>687</v>
      </c>
      <c r="H19" s="1">
        <v>249</v>
      </c>
      <c r="I19" s="1">
        <v>649</v>
      </c>
      <c r="J19" s="1">
        <v>377</v>
      </c>
      <c r="K19" s="1">
        <v>163</v>
      </c>
      <c r="L19" s="6">
        <v>222</v>
      </c>
      <c r="M19" s="6">
        <v>286</v>
      </c>
      <c r="N19" s="6">
        <v>184</v>
      </c>
      <c r="O19" s="6">
        <v>327</v>
      </c>
      <c r="P19" s="6">
        <v>218</v>
      </c>
      <c r="Q19" s="6">
        <v>209</v>
      </c>
      <c r="R19" s="6">
        <v>457</v>
      </c>
      <c r="S19" s="6">
        <v>451</v>
      </c>
      <c r="T19" s="6">
        <v>17</v>
      </c>
      <c r="U19" s="6">
        <v>161</v>
      </c>
      <c r="V19" s="6">
        <v>-188</v>
      </c>
      <c r="W19" s="6">
        <v>49</v>
      </c>
    </row>
    <row r="20" spans="1:23" ht="20" customHeight="1">
      <c r="A20" s="8" t="s">
        <v>29</v>
      </c>
      <c r="B20" s="1">
        <v>13</v>
      </c>
      <c r="C20" s="1">
        <v>237</v>
      </c>
      <c r="D20" s="1">
        <v>334</v>
      </c>
      <c r="E20" s="1">
        <v>275</v>
      </c>
      <c r="F20" s="1">
        <v>167</v>
      </c>
      <c r="G20" s="1">
        <v>136</v>
      </c>
      <c r="H20" s="1">
        <v>232</v>
      </c>
      <c r="I20" s="1">
        <v>155</v>
      </c>
      <c r="J20" s="1">
        <v>108</v>
      </c>
      <c r="K20" s="1">
        <v>136</v>
      </c>
      <c r="L20" s="6">
        <v>-24</v>
      </c>
      <c r="M20" s="6">
        <v>-16</v>
      </c>
      <c r="N20" s="6">
        <v>77</v>
      </c>
      <c r="O20" s="6">
        <v>143</v>
      </c>
      <c r="P20" s="6">
        <v>201</v>
      </c>
      <c r="Q20" s="6">
        <v>162</v>
      </c>
      <c r="R20" s="6">
        <v>119</v>
      </c>
      <c r="S20" s="6">
        <v>89</v>
      </c>
      <c r="T20" s="6">
        <v>42</v>
      </c>
      <c r="U20" s="6">
        <v>132</v>
      </c>
      <c r="V20" s="6">
        <v>-28</v>
      </c>
      <c r="W20" s="6">
        <v>-79</v>
      </c>
    </row>
    <row r="21" spans="1:23" ht="20" customHeight="1">
      <c r="A21" s="8" t="s">
        <v>30</v>
      </c>
      <c r="B21" s="1">
        <v>-36</v>
      </c>
      <c r="C21" s="1">
        <v>2</v>
      </c>
      <c r="D21" s="1">
        <v>88</v>
      </c>
      <c r="E21" s="1">
        <v>51</v>
      </c>
      <c r="F21" s="1">
        <v>-6</v>
      </c>
      <c r="G21" s="1">
        <v>-53</v>
      </c>
      <c r="H21" s="1">
        <v>15</v>
      </c>
      <c r="I21" s="1">
        <v>-37</v>
      </c>
      <c r="J21" s="1">
        <v>-15</v>
      </c>
      <c r="K21" s="1">
        <v>37</v>
      </c>
      <c r="L21" s="6">
        <v>-71</v>
      </c>
      <c r="M21" s="6">
        <v>-113</v>
      </c>
      <c r="N21" s="6">
        <v>-54</v>
      </c>
      <c r="O21" s="6">
        <v>-93</v>
      </c>
      <c r="P21" s="6">
        <v>-3</v>
      </c>
      <c r="Q21" s="6">
        <v>30</v>
      </c>
      <c r="R21" s="6">
        <v>-26</v>
      </c>
      <c r="S21" s="6">
        <v>-41</v>
      </c>
      <c r="T21" s="6">
        <v>-31</v>
      </c>
      <c r="U21" s="6">
        <v>11</v>
      </c>
      <c r="V21" s="6">
        <v>-29</v>
      </c>
      <c r="W21" s="6">
        <v>79</v>
      </c>
    </row>
    <row r="22" spans="1:23" ht="20" customHeight="1">
      <c r="A22" s="8" t="s">
        <v>31</v>
      </c>
      <c r="B22" s="1">
        <v>-198</v>
      </c>
      <c r="C22" s="1">
        <v>-143</v>
      </c>
      <c r="D22" s="1">
        <v>14</v>
      </c>
      <c r="E22" s="1">
        <v>-80</v>
      </c>
      <c r="F22" s="1">
        <v>151</v>
      </c>
      <c r="G22" s="1">
        <v>315</v>
      </c>
      <c r="H22" s="1">
        <v>186</v>
      </c>
      <c r="I22" s="1">
        <v>-53</v>
      </c>
      <c r="J22" s="1">
        <v>74</v>
      </c>
      <c r="K22" s="1">
        <v>-149</v>
      </c>
      <c r="L22" s="6">
        <v>441</v>
      </c>
      <c r="M22" s="6">
        <v>1829</v>
      </c>
      <c r="N22" s="6">
        <v>1014</v>
      </c>
      <c r="O22" s="6">
        <v>1601</v>
      </c>
      <c r="P22" s="6">
        <v>1066</v>
      </c>
      <c r="Q22" s="6">
        <v>1154</v>
      </c>
      <c r="R22" s="6">
        <v>882</v>
      </c>
      <c r="S22" s="6">
        <v>710</v>
      </c>
      <c r="T22" s="6">
        <v>248</v>
      </c>
      <c r="U22" s="6">
        <v>812</v>
      </c>
      <c r="V22" s="6">
        <v>1624</v>
      </c>
      <c r="W22" s="6">
        <v>745</v>
      </c>
    </row>
    <row r="23" spans="1:23" ht="20" customHeight="1">
      <c r="A23" s="8" t="s">
        <v>32</v>
      </c>
      <c r="B23" s="1">
        <v>-660</v>
      </c>
      <c r="C23" s="1">
        <v>1218</v>
      </c>
      <c r="D23" s="1">
        <v>535</v>
      </c>
      <c r="E23" s="1">
        <v>1084</v>
      </c>
      <c r="F23" s="1">
        <v>890</v>
      </c>
      <c r="G23" s="1">
        <v>623</v>
      </c>
      <c r="H23" s="1">
        <v>-690</v>
      </c>
      <c r="I23" s="1">
        <v>-1017</v>
      </c>
      <c r="J23" s="1">
        <v>-376</v>
      </c>
      <c r="K23" s="1">
        <v>190</v>
      </c>
      <c r="L23" s="6">
        <v>1357</v>
      </c>
      <c r="M23" s="6">
        <v>1295</v>
      </c>
      <c r="N23" s="6">
        <v>115</v>
      </c>
      <c r="O23" s="6">
        <v>1176</v>
      </c>
      <c r="P23" s="6">
        <v>2193</v>
      </c>
      <c r="Q23" s="6">
        <v>937</v>
      </c>
      <c r="R23" s="6">
        <v>910</v>
      </c>
      <c r="S23" s="6">
        <v>563</v>
      </c>
      <c r="T23" s="6">
        <v>831</v>
      </c>
      <c r="U23" s="6">
        <v>492</v>
      </c>
      <c r="V23" s="6">
        <v>-771</v>
      </c>
      <c r="W23" s="6">
        <v>1361</v>
      </c>
    </row>
    <row r="24" spans="1:23" ht="20" customHeight="1">
      <c r="A24" s="8" t="s">
        <v>33</v>
      </c>
      <c r="B24" s="1">
        <v>-481</v>
      </c>
      <c r="C24" s="1">
        <v>-383</v>
      </c>
      <c r="D24" s="1">
        <v>-483</v>
      </c>
      <c r="E24" s="1">
        <v>-383</v>
      </c>
      <c r="F24" s="1">
        <v>-362</v>
      </c>
      <c r="G24" s="1">
        <v>-191</v>
      </c>
      <c r="H24" s="1">
        <v>493</v>
      </c>
      <c r="I24" s="1">
        <v>249</v>
      </c>
      <c r="J24" s="1">
        <v>831</v>
      </c>
      <c r="K24" s="1">
        <v>-186</v>
      </c>
      <c r="L24" s="6">
        <v>-646</v>
      </c>
      <c r="M24" s="6">
        <v>-554</v>
      </c>
      <c r="N24" s="6">
        <v>-543</v>
      </c>
      <c r="O24" s="6">
        <v>-657</v>
      </c>
      <c r="P24" s="6">
        <v>-740</v>
      </c>
      <c r="Q24" s="6">
        <v>-166</v>
      </c>
      <c r="R24" s="6">
        <v>-290</v>
      </c>
      <c r="S24" s="6">
        <v>-233</v>
      </c>
      <c r="T24" s="6">
        <v>-200</v>
      </c>
      <c r="U24" s="6">
        <v>-249</v>
      </c>
      <c r="V24" s="6">
        <v>-36</v>
      </c>
      <c r="W24" s="6">
        <v>-203</v>
      </c>
    </row>
    <row r="25" spans="1:23" ht="20" customHeight="1">
      <c r="A25" s="8" t="s">
        <v>34</v>
      </c>
      <c r="B25" s="1">
        <v>-325</v>
      </c>
      <c r="C25" s="1">
        <v>-198</v>
      </c>
      <c r="D25" s="1">
        <v>-2</v>
      </c>
      <c r="E25" s="1">
        <v>1660</v>
      </c>
      <c r="F25" s="1">
        <v>877</v>
      </c>
      <c r="G25" s="1">
        <v>60</v>
      </c>
      <c r="H25" s="1">
        <v>174</v>
      </c>
      <c r="I25" s="1">
        <v>243</v>
      </c>
      <c r="J25" s="1">
        <v>-153</v>
      </c>
      <c r="K25" s="1">
        <v>-293</v>
      </c>
      <c r="L25" s="6">
        <v>-385</v>
      </c>
      <c r="M25" s="6">
        <v>-544</v>
      </c>
      <c r="N25" s="6">
        <v>-548</v>
      </c>
      <c r="O25" s="6">
        <v>-383</v>
      </c>
      <c r="P25" s="6">
        <v>-251</v>
      </c>
      <c r="Q25" s="6">
        <v>-389</v>
      </c>
      <c r="R25" s="6">
        <v>-451</v>
      </c>
      <c r="S25" s="6">
        <v>-329</v>
      </c>
      <c r="T25" s="6">
        <v>43</v>
      </c>
      <c r="U25" s="6">
        <v>374</v>
      </c>
      <c r="V25" s="6">
        <v>521</v>
      </c>
      <c r="W25" s="6">
        <v>341</v>
      </c>
    </row>
    <row r="26" spans="1:23" ht="20" customHeight="1">
      <c r="A26" s="8" t="s">
        <v>35</v>
      </c>
      <c r="B26" s="1">
        <v>-150</v>
      </c>
      <c r="C26" s="1">
        <v>184</v>
      </c>
      <c r="D26" s="1">
        <v>15</v>
      </c>
      <c r="E26" s="1">
        <v>827</v>
      </c>
      <c r="F26" s="1">
        <v>498</v>
      </c>
      <c r="G26" s="1">
        <v>64</v>
      </c>
      <c r="H26" s="1">
        <v>-79</v>
      </c>
      <c r="I26" s="1">
        <v>9</v>
      </c>
      <c r="J26" s="1">
        <v>-825</v>
      </c>
      <c r="K26" s="1">
        <v>-538</v>
      </c>
      <c r="L26" s="6">
        <v>-377</v>
      </c>
      <c r="M26" s="6">
        <v>-162</v>
      </c>
      <c r="N26" s="6">
        <v>-82</v>
      </c>
      <c r="O26" s="6">
        <v>143</v>
      </c>
      <c r="P26" s="6">
        <v>243</v>
      </c>
      <c r="Q26" s="6">
        <v>909</v>
      </c>
      <c r="R26" s="6">
        <v>465</v>
      </c>
      <c r="S26" s="6">
        <v>533</v>
      </c>
      <c r="T26" s="6">
        <v>-125</v>
      </c>
      <c r="U26" s="6">
        <v>-94</v>
      </c>
      <c r="V26" s="6">
        <v>-644</v>
      </c>
      <c r="W26" s="6">
        <v>-181</v>
      </c>
    </row>
    <row r="27" spans="1:23" ht="20" customHeight="1">
      <c r="A27" s="8" t="s">
        <v>36</v>
      </c>
      <c r="B27" s="1">
        <v>636</v>
      </c>
      <c r="C27" s="1">
        <v>441</v>
      </c>
      <c r="D27" s="1">
        <v>47</v>
      </c>
      <c r="E27" s="1">
        <v>22</v>
      </c>
      <c r="F27" s="1">
        <v>-130</v>
      </c>
      <c r="G27" s="1">
        <v>154</v>
      </c>
      <c r="H27" s="1">
        <v>348</v>
      </c>
      <c r="I27" s="1">
        <v>540</v>
      </c>
      <c r="J27" s="1">
        <v>320</v>
      </c>
      <c r="K27" s="1">
        <v>103</v>
      </c>
      <c r="L27" s="6">
        <v>2205</v>
      </c>
      <c r="M27" s="6">
        <v>2647</v>
      </c>
      <c r="N27" s="6">
        <v>1154</v>
      </c>
      <c r="O27" s="6">
        <v>1479</v>
      </c>
      <c r="P27" s="6">
        <v>714</v>
      </c>
      <c r="Q27" s="6">
        <v>650</v>
      </c>
      <c r="R27" s="6">
        <v>1229</v>
      </c>
      <c r="S27" s="6">
        <v>800</v>
      </c>
      <c r="T27" s="6">
        <v>487</v>
      </c>
      <c r="U27" s="6">
        <v>719</v>
      </c>
      <c r="V27" s="6">
        <v>834</v>
      </c>
      <c r="W27" s="6">
        <v>1231</v>
      </c>
    </row>
    <row r="28" spans="1:23" ht="20" customHeight="1">
      <c r="A28" s="8" t="s">
        <v>37</v>
      </c>
      <c r="B28" s="1">
        <v>1480</v>
      </c>
      <c r="C28" s="1">
        <v>1051</v>
      </c>
      <c r="D28" s="1">
        <v>770</v>
      </c>
      <c r="E28" s="1">
        <v>1106</v>
      </c>
      <c r="F28" s="1">
        <v>921</v>
      </c>
      <c r="G28" s="1">
        <v>410</v>
      </c>
      <c r="H28" s="1">
        <v>655</v>
      </c>
      <c r="I28" s="1">
        <v>960</v>
      </c>
      <c r="J28" s="1">
        <v>783</v>
      </c>
      <c r="K28" s="1">
        <v>840</v>
      </c>
      <c r="L28" s="6">
        <v>772</v>
      </c>
      <c r="M28" s="6">
        <v>178</v>
      </c>
      <c r="N28" s="6">
        <v>607</v>
      </c>
      <c r="O28" s="6">
        <v>440</v>
      </c>
      <c r="P28" s="6">
        <v>159</v>
      </c>
      <c r="Q28" s="6">
        <v>543</v>
      </c>
      <c r="R28" s="6">
        <v>324</v>
      </c>
      <c r="S28" s="6">
        <v>454</v>
      </c>
      <c r="T28" s="6">
        <v>871</v>
      </c>
      <c r="U28" s="6">
        <v>735</v>
      </c>
      <c r="V28" s="6">
        <v>613</v>
      </c>
      <c r="W28" s="6">
        <v>703</v>
      </c>
    </row>
    <row r="29" spans="1:23" ht="20" customHeight="1">
      <c r="A29" s="8" t="s">
        <v>38</v>
      </c>
      <c r="B29" s="1">
        <v>-20</v>
      </c>
      <c r="C29" s="1">
        <v>105</v>
      </c>
      <c r="D29" s="1">
        <v>257</v>
      </c>
      <c r="E29" s="1">
        <v>244</v>
      </c>
      <c r="F29" s="1">
        <v>927</v>
      </c>
      <c r="G29" s="1">
        <v>498</v>
      </c>
      <c r="H29" s="1">
        <v>377</v>
      </c>
      <c r="I29" s="1">
        <v>-131</v>
      </c>
      <c r="J29" s="1">
        <v>262</v>
      </c>
      <c r="K29" s="1">
        <v>-3</v>
      </c>
      <c r="L29" s="6">
        <v>-190</v>
      </c>
      <c r="M29" s="6">
        <v>-277</v>
      </c>
      <c r="N29" s="6">
        <v>-305</v>
      </c>
      <c r="O29" s="6">
        <v>203</v>
      </c>
      <c r="P29" s="6">
        <v>317</v>
      </c>
      <c r="Q29" s="6">
        <v>117</v>
      </c>
      <c r="R29" s="6">
        <v>-73</v>
      </c>
      <c r="S29" s="6">
        <v>-315</v>
      </c>
      <c r="T29" s="6">
        <v>-104</v>
      </c>
      <c r="U29" s="6">
        <v>-268</v>
      </c>
      <c r="V29" s="6">
        <v>-191</v>
      </c>
      <c r="W29" s="6">
        <v>-282</v>
      </c>
    </row>
    <row r="30" spans="1:23" ht="20" customHeight="1">
      <c r="A30" s="8" t="s">
        <v>39</v>
      </c>
      <c r="B30" s="1">
        <v>3107</v>
      </c>
      <c r="C30" s="1">
        <v>2681</v>
      </c>
      <c r="D30" s="1">
        <v>3039</v>
      </c>
      <c r="E30" s="1">
        <v>1766</v>
      </c>
      <c r="F30" s="1">
        <v>1685</v>
      </c>
      <c r="G30" s="1">
        <v>1315</v>
      </c>
      <c r="H30" s="1">
        <v>2555</v>
      </c>
      <c r="I30" s="1">
        <v>1866</v>
      </c>
      <c r="J30" s="1">
        <v>1931</v>
      </c>
      <c r="K30" s="1">
        <v>2612</v>
      </c>
      <c r="L30" s="6">
        <v>1934</v>
      </c>
      <c r="M30" s="6">
        <v>1516</v>
      </c>
      <c r="N30" s="6">
        <v>1264</v>
      </c>
      <c r="O30" s="6">
        <v>970</v>
      </c>
      <c r="P30" s="6">
        <v>681</v>
      </c>
      <c r="Q30" s="6">
        <v>1158</v>
      </c>
      <c r="R30" s="6">
        <v>2519</v>
      </c>
      <c r="S30" s="6">
        <v>1585</v>
      </c>
      <c r="T30" s="6">
        <v>2960</v>
      </c>
      <c r="U30" s="6">
        <v>3006</v>
      </c>
      <c r="V30" s="6">
        <v>1457</v>
      </c>
      <c r="W30" s="6">
        <v>1609</v>
      </c>
    </row>
    <row r="31" spans="1:23" ht="20" customHeight="1">
      <c r="A31" s="8" t="s">
        <v>40</v>
      </c>
      <c r="B31" s="1">
        <v>2826</v>
      </c>
      <c r="C31" s="1">
        <v>1829</v>
      </c>
      <c r="D31" s="1">
        <v>1039</v>
      </c>
      <c r="E31" s="1">
        <v>1311</v>
      </c>
      <c r="F31" s="1">
        <v>1647</v>
      </c>
      <c r="G31" s="1">
        <v>1840</v>
      </c>
      <c r="H31" s="1">
        <v>192</v>
      </c>
      <c r="I31" s="1">
        <v>632</v>
      </c>
      <c r="J31" s="1">
        <v>-336</v>
      </c>
      <c r="K31" s="1">
        <v>3756</v>
      </c>
      <c r="L31" s="6">
        <v>4203</v>
      </c>
      <c r="M31" s="6">
        <v>4366</v>
      </c>
      <c r="N31" s="6">
        <v>693</v>
      </c>
      <c r="O31" s="6">
        <v>324</v>
      </c>
      <c r="P31" s="6">
        <v>1232</v>
      </c>
      <c r="Q31" s="6">
        <v>571</v>
      </c>
      <c r="R31" s="6">
        <v>504</v>
      </c>
      <c r="S31" s="6">
        <v>1100</v>
      </c>
      <c r="T31" s="6">
        <v>122</v>
      </c>
      <c r="U31" s="6">
        <v>85</v>
      </c>
      <c r="V31" s="6">
        <v>-663</v>
      </c>
      <c r="W31" s="6">
        <v>-648</v>
      </c>
    </row>
    <row r="32" spans="1:23" ht="20" customHeight="1">
      <c r="A32" s="8" t="s">
        <v>41</v>
      </c>
      <c r="B32" s="1">
        <v>-341</v>
      </c>
      <c r="C32" s="1">
        <v>-409</v>
      </c>
      <c r="D32" s="1">
        <v>-258</v>
      </c>
      <c r="E32" s="1">
        <v>-339</v>
      </c>
      <c r="F32" s="1">
        <v>-359</v>
      </c>
      <c r="G32" s="1">
        <v>-183</v>
      </c>
      <c r="H32" s="1">
        <v>-23</v>
      </c>
      <c r="I32" s="1">
        <v>-8</v>
      </c>
      <c r="J32" s="1">
        <v>653</v>
      </c>
      <c r="K32" s="1">
        <v>332</v>
      </c>
      <c r="L32" s="6">
        <v>214</v>
      </c>
      <c r="M32" s="6">
        <v>1075</v>
      </c>
      <c r="N32" s="6">
        <v>813</v>
      </c>
      <c r="O32" s="6">
        <v>557</v>
      </c>
      <c r="P32" s="6">
        <v>288</v>
      </c>
      <c r="Q32" s="6">
        <v>407</v>
      </c>
      <c r="R32" s="6">
        <v>886</v>
      </c>
      <c r="S32" s="6">
        <v>1285</v>
      </c>
      <c r="T32" s="6">
        <v>214</v>
      </c>
      <c r="U32" s="6">
        <v>702</v>
      </c>
      <c r="V32" s="6">
        <v>2599</v>
      </c>
      <c r="W32" s="6">
        <v>8646</v>
      </c>
    </row>
    <row r="33" spans="1:23" ht="20" customHeight="1">
      <c r="A33" s="8" t="s">
        <v>42</v>
      </c>
      <c r="B33" s="1">
        <v>-274</v>
      </c>
      <c r="C33" s="1">
        <v>-272</v>
      </c>
      <c r="D33" s="1">
        <v>-307</v>
      </c>
      <c r="E33" s="1">
        <v>-485</v>
      </c>
      <c r="F33" s="1">
        <v>-262</v>
      </c>
      <c r="G33" s="1">
        <v>-335</v>
      </c>
      <c r="H33" s="1">
        <v>-314</v>
      </c>
      <c r="I33" s="1">
        <v>-520</v>
      </c>
      <c r="J33" s="1">
        <v>-467</v>
      </c>
      <c r="K33" s="1">
        <v>-502</v>
      </c>
      <c r="L33" s="6">
        <v>-482</v>
      </c>
      <c r="M33" s="6">
        <v>-330</v>
      </c>
      <c r="N33" s="6">
        <v>-524</v>
      </c>
      <c r="O33" s="6">
        <v>-394</v>
      </c>
      <c r="P33" s="6">
        <v>-212</v>
      </c>
      <c r="Q33" s="6">
        <v>-376</v>
      </c>
      <c r="R33" s="6">
        <v>-363</v>
      </c>
      <c r="S33" s="6">
        <v>-244</v>
      </c>
      <c r="T33" s="6">
        <v>215</v>
      </c>
      <c r="U33" s="6">
        <v>117</v>
      </c>
      <c r="V33" s="6">
        <v>-185</v>
      </c>
      <c r="W33" s="6">
        <v>-223</v>
      </c>
    </row>
    <row r="34" spans="1:23" ht="20" customHeight="1">
      <c r="A34" s="8" t="s">
        <v>43</v>
      </c>
      <c r="B34" s="1">
        <v>-371</v>
      </c>
      <c r="C34" s="1">
        <v>-412</v>
      </c>
      <c r="D34" s="1">
        <v>-611</v>
      </c>
      <c r="E34" s="1">
        <v>-393</v>
      </c>
      <c r="F34" s="1">
        <v>-545</v>
      </c>
      <c r="G34" s="1">
        <v>-1141</v>
      </c>
      <c r="H34" s="1">
        <v>-866</v>
      </c>
      <c r="I34" s="1">
        <v>-631</v>
      </c>
      <c r="J34" s="1">
        <v>10</v>
      </c>
      <c r="K34" s="1">
        <v>-490</v>
      </c>
      <c r="L34" s="6">
        <v>-460</v>
      </c>
      <c r="M34" s="6">
        <v>-498</v>
      </c>
      <c r="N34" s="6">
        <v>-630</v>
      </c>
      <c r="O34" s="6">
        <v>-676</v>
      </c>
      <c r="P34" s="6">
        <v>-571</v>
      </c>
      <c r="Q34" s="6">
        <v>-801</v>
      </c>
      <c r="R34" s="6">
        <v>-701</v>
      </c>
      <c r="S34" s="6">
        <v>-651</v>
      </c>
      <c r="T34" s="6">
        <v>-289</v>
      </c>
      <c r="U34" s="6">
        <v>-27</v>
      </c>
      <c r="V34" s="6">
        <v>-510</v>
      </c>
      <c r="W34" s="6">
        <v>-837</v>
      </c>
    </row>
    <row r="35" spans="1:23" ht="20" customHeight="1">
      <c r="A35" s="8" t="s">
        <v>44</v>
      </c>
      <c r="B35" s="1">
        <v>450</v>
      </c>
      <c r="C35" s="1">
        <v>-85</v>
      </c>
      <c r="D35" s="1">
        <v>-80</v>
      </c>
      <c r="E35" s="1">
        <v>-208</v>
      </c>
      <c r="F35" s="1">
        <v>-498</v>
      </c>
      <c r="G35" s="1">
        <v>-559</v>
      </c>
      <c r="H35" s="1">
        <v>-742</v>
      </c>
      <c r="I35" s="1">
        <v>-1062</v>
      </c>
      <c r="J35" s="1">
        <v>-1044</v>
      </c>
      <c r="K35" s="1">
        <v>-662</v>
      </c>
      <c r="L35" s="6">
        <v>11</v>
      </c>
      <c r="M35" s="6">
        <v>50</v>
      </c>
      <c r="N35" s="6">
        <v>215</v>
      </c>
      <c r="O35" s="6">
        <v>-168</v>
      </c>
      <c r="P35" s="6">
        <v>-231</v>
      </c>
      <c r="Q35" s="6">
        <v>-252</v>
      </c>
      <c r="R35" s="6">
        <v>-427</v>
      </c>
      <c r="S35" s="6">
        <v>-316</v>
      </c>
      <c r="T35" s="6">
        <v>-383</v>
      </c>
      <c r="U35" s="6">
        <v>-745</v>
      </c>
      <c r="V35" s="6">
        <v>-611</v>
      </c>
      <c r="W35" s="6">
        <v>-275</v>
      </c>
    </row>
    <row r="36" spans="1:23" ht="20" customHeight="1">
      <c r="A36" s="8" t="s">
        <v>45</v>
      </c>
      <c r="B36" s="1">
        <v>-263</v>
      </c>
      <c r="C36" s="1">
        <v>-250</v>
      </c>
      <c r="D36" s="1">
        <v>39</v>
      </c>
      <c r="E36" s="1">
        <v>-406</v>
      </c>
      <c r="F36" s="1">
        <v>4</v>
      </c>
      <c r="G36" s="1">
        <v>352</v>
      </c>
      <c r="H36" s="1">
        <v>184</v>
      </c>
      <c r="I36" s="1">
        <v>-217</v>
      </c>
      <c r="J36" s="1">
        <v>-418</v>
      </c>
      <c r="K36" s="1">
        <v>-258</v>
      </c>
      <c r="L36" s="6">
        <v>-201</v>
      </c>
      <c r="M36" s="6">
        <v>-90</v>
      </c>
      <c r="N36" s="6">
        <v>-95</v>
      </c>
      <c r="O36" s="6">
        <v>-289</v>
      </c>
      <c r="P36" s="6">
        <v>-353</v>
      </c>
      <c r="Q36" s="6">
        <v>-239</v>
      </c>
      <c r="R36" s="6">
        <v>-248</v>
      </c>
      <c r="S36" s="6">
        <v>-180</v>
      </c>
      <c r="T36" s="6">
        <v>-306</v>
      </c>
      <c r="U36" s="6">
        <v>-367</v>
      </c>
      <c r="V36" s="6">
        <v>-276</v>
      </c>
      <c r="W36" s="6">
        <v>-614</v>
      </c>
    </row>
    <row r="37" spans="1:23" ht="20" customHeight="1">
      <c r="A37" s="8" t="s">
        <v>46</v>
      </c>
      <c r="B37" s="1">
        <v>-243</v>
      </c>
      <c r="C37" s="1">
        <v>-90</v>
      </c>
      <c r="D37" s="1">
        <v>-146</v>
      </c>
      <c r="E37" s="1">
        <v>-158</v>
      </c>
      <c r="F37" s="1">
        <v>-112</v>
      </c>
      <c r="G37" s="1">
        <v>-385</v>
      </c>
      <c r="H37" s="1">
        <v>-456</v>
      </c>
      <c r="I37" s="1">
        <v>-390</v>
      </c>
      <c r="J37" s="1">
        <v>-414</v>
      </c>
      <c r="K37" s="1">
        <v>-532</v>
      </c>
      <c r="L37" s="6">
        <v>-142</v>
      </c>
      <c r="M37" s="6">
        <v>-638</v>
      </c>
      <c r="N37" s="6">
        <v>-284</v>
      </c>
      <c r="O37" s="6">
        <v>-465</v>
      </c>
      <c r="P37" s="6">
        <v>-443</v>
      </c>
      <c r="Q37" s="6">
        <v>-394</v>
      </c>
      <c r="R37" s="6">
        <v>-349</v>
      </c>
      <c r="S37" s="6">
        <v>-314</v>
      </c>
      <c r="T37" s="6">
        <v>-142</v>
      </c>
      <c r="U37" s="6">
        <v>-575</v>
      </c>
      <c r="V37" s="6">
        <v>-344</v>
      </c>
      <c r="W37" s="6">
        <v>-302</v>
      </c>
    </row>
    <row r="38" spans="1:23" ht="20" customHeight="1">
      <c r="A38" s="8" t="s">
        <v>47</v>
      </c>
      <c r="B38" s="1">
        <v>-81</v>
      </c>
      <c r="C38" s="1">
        <v>27</v>
      </c>
      <c r="D38" s="1">
        <v>-48</v>
      </c>
      <c r="E38" s="1">
        <v>-15</v>
      </c>
      <c r="F38" s="1">
        <v>-134</v>
      </c>
      <c r="G38" s="1">
        <v>-194</v>
      </c>
      <c r="H38" s="1">
        <v>-224</v>
      </c>
      <c r="I38" s="1">
        <v>-238</v>
      </c>
      <c r="J38" s="1">
        <v>-462</v>
      </c>
      <c r="K38" s="1">
        <v>-196</v>
      </c>
      <c r="L38" s="6">
        <v>8</v>
      </c>
      <c r="M38" s="6">
        <v>-139</v>
      </c>
      <c r="N38" s="6">
        <v>-60</v>
      </c>
      <c r="O38" s="6">
        <v>-164</v>
      </c>
      <c r="P38" s="6">
        <v>-106</v>
      </c>
      <c r="Q38" s="6">
        <v>-162</v>
      </c>
      <c r="R38" s="6">
        <v>-124</v>
      </c>
      <c r="S38" s="6">
        <v>-222</v>
      </c>
      <c r="T38" s="6">
        <v>-262</v>
      </c>
      <c r="U38" s="6">
        <v>-228</v>
      </c>
      <c r="V38" s="6">
        <v>-313</v>
      </c>
      <c r="W38" s="6">
        <v>-193</v>
      </c>
    </row>
    <row r="39" spans="1:23" ht="20" customHeight="1">
      <c r="A39" s="8" t="s">
        <v>48</v>
      </c>
      <c r="B39" s="1">
        <v>-273</v>
      </c>
      <c r="C39" s="1">
        <v>-681</v>
      </c>
      <c r="D39" s="1">
        <v>-519</v>
      </c>
      <c r="E39" s="1">
        <v>-1024</v>
      </c>
      <c r="F39" s="1">
        <v>18</v>
      </c>
      <c r="G39" s="1">
        <v>-135</v>
      </c>
      <c r="H39" s="1">
        <v>119</v>
      </c>
      <c r="I39" s="1">
        <v>-347</v>
      </c>
      <c r="J39" s="1">
        <v>-360</v>
      </c>
      <c r="K39" s="1">
        <v>-671</v>
      </c>
      <c r="L39" s="6">
        <v>-888</v>
      </c>
      <c r="M39" s="6">
        <v>-36</v>
      </c>
      <c r="N39" s="6">
        <v>49</v>
      </c>
      <c r="O39" s="6">
        <v>-577</v>
      </c>
      <c r="P39" s="6">
        <v>-537</v>
      </c>
      <c r="Q39" s="6">
        <v>-627</v>
      </c>
      <c r="R39" s="6">
        <v>-666</v>
      </c>
      <c r="S39" s="6">
        <v>-501</v>
      </c>
      <c r="T39" s="6">
        <v>-295</v>
      </c>
      <c r="U39" s="6">
        <v>-835</v>
      </c>
      <c r="V39" s="6">
        <v>-326</v>
      </c>
      <c r="W39" s="6">
        <v>-738</v>
      </c>
    </row>
    <row r="40" spans="1:23" ht="20" customHeight="1">
      <c r="A40" s="8" t="s">
        <v>49</v>
      </c>
      <c r="B40" s="1">
        <v>-275</v>
      </c>
      <c r="C40" s="1">
        <v>-417</v>
      </c>
      <c r="D40" s="1">
        <v>-308</v>
      </c>
      <c r="E40" s="1">
        <v>-526</v>
      </c>
      <c r="F40" s="1">
        <v>-468</v>
      </c>
      <c r="G40" s="1">
        <v>-394</v>
      </c>
      <c r="H40" s="1">
        <v>-169</v>
      </c>
      <c r="I40" s="1">
        <v>-161</v>
      </c>
      <c r="J40" s="1">
        <v>-252</v>
      </c>
      <c r="K40" s="1">
        <v>-20</v>
      </c>
      <c r="L40" s="6">
        <v>-97</v>
      </c>
      <c r="M40" s="6">
        <v>-101</v>
      </c>
      <c r="N40" s="6">
        <v>-112</v>
      </c>
      <c r="O40" s="6">
        <v>-173</v>
      </c>
      <c r="P40" s="6">
        <v>-321</v>
      </c>
      <c r="Q40" s="6">
        <v>-181</v>
      </c>
      <c r="R40" s="6">
        <v>-243</v>
      </c>
      <c r="S40" s="6">
        <v>-349</v>
      </c>
      <c r="T40" s="6">
        <v>-299</v>
      </c>
      <c r="U40" s="6">
        <v>-236</v>
      </c>
      <c r="V40" s="6">
        <v>-342</v>
      </c>
      <c r="W40" s="6">
        <v>-137</v>
      </c>
    </row>
    <row r="41" spans="1:23" ht="20" customHeight="1">
      <c r="A41" s="8" t="s">
        <v>50</v>
      </c>
      <c r="B41" s="1">
        <v>356</v>
      </c>
      <c r="C41" s="1">
        <v>165</v>
      </c>
      <c r="D41" s="1">
        <v>38</v>
      </c>
      <c r="E41" s="1">
        <v>458</v>
      </c>
      <c r="F41" s="1">
        <v>582</v>
      </c>
      <c r="G41" s="1">
        <v>1792</v>
      </c>
      <c r="H41" s="1">
        <v>967</v>
      </c>
      <c r="I41" s="1">
        <v>392</v>
      </c>
      <c r="J41" s="1">
        <v>122</v>
      </c>
      <c r="K41" s="1">
        <v>-275</v>
      </c>
      <c r="L41" s="6">
        <v>-75</v>
      </c>
      <c r="M41" s="6">
        <v>669</v>
      </c>
      <c r="N41" s="6">
        <v>423</v>
      </c>
      <c r="O41" s="6">
        <v>57</v>
      </c>
      <c r="P41" s="6">
        <v>-254</v>
      </c>
      <c r="Q41" s="6">
        <v>-321</v>
      </c>
      <c r="R41" s="6">
        <v>-197</v>
      </c>
      <c r="S41" s="6">
        <v>-133</v>
      </c>
      <c r="T41" s="6">
        <v>-192</v>
      </c>
      <c r="U41" s="6">
        <v>-274</v>
      </c>
      <c r="V41" s="6">
        <v>-634</v>
      </c>
      <c r="W41" s="6">
        <v>-836</v>
      </c>
    </row>
    <row r="42" spans="1:23" ht="20" customHeight="1">
      <c r="A42" s="8" t="s">
        <v>51</v>
      </c>
      <c r="B42" s="1">
        <v>570</v>
      </c>
      <c r="C42" s="1">
        <v>167</v>
      </c>
      <c r="D42" s="1">
        <v>174</v>
      </c>
      <c r="E42" s="1">
        <v>17</v>
      </c>
      <c r="F42" s="1">
        <v>-68</v>
      </c>
      <c r="G42" s="1">
        <v>-90</v>
      </c>
      <c r="H42" s="1">
        <v>-296</v>
      </c>
      <c r="I42" s="1">
        <v>-408</v>
      </c>
      <c r="J42" s="1">
        <v>-293</v>
      </c>
      <c r="K42" s="1">
        <v>-407</v>
      </c>
      <c r="L42" s="6">
        <v>-380</v>
      </c>
      <c r="M42" s="6">
        <v>-56</v>
      </c>
      <c r="N42" s="6">
        <v>377</v>
      </c>
      <c r="O42" s="6">
        <v>185</v>
      </c>
      <c r="P42" s="6">
        <v>-314</v>
      </c>
      <c r="Q42" s="6">
        <v>-246</v>
      </c>
      <c r="R42" s="6">
        <v>-362</v>
      </c>
      <c r="S42" s="6">
        <v>-497</v>
      </c>
      <c r="T42" s="6">
        <v>-262</v>
      </c>
      <c r="U42" s="6">
        <v>-355</v>
      </c>
      <c r="V42" s="6">
        <v>-252</v>
      </c>
      <c r="W42" s="6">
        <v>-653</v>
      </c>
    </row>
    <row r="43" spans="1:23" ht="20" customHeight="1">
      <c r="A43" s="8" t="s">
        <v>52</v>
      </c>
      <c r="B43" s="1">
        <v>100</v>
      </c>
      <c r="C43" s="1">
        <v>-259</v>
      </c>
      <c r="D43" s="1">
        <v>0</v>
      </c>
      <c r="E43" s="1">
        <v>-168</v>
      </c>
      <c r="F43" s="1">
        <v>-153</v>
      </c>
      <c r="G43" s="1">
        <v>-396</v>
      </c>
      <c r="H43" s="1">
        <v>-315</v>
      </c>
      <c r="I43" s="1">
        <v>-240</v>
      </c>
      <c r="J43" s="1">
        <v>-48</v>
      </c>
      <c r="K43" s="1">
        <v>-148</v>
      </c>
      <c r="L43" s="6">
        <v>-33</v>
      </c>
      <c r="M43" s="6">
        <v>-24</v>
      </c>
      <c r="N43" s="6">
        <v>34</v>
      </c>
      <c r="O43" s="6">
        <v>-205</v>
      </c>
      <c r="P43" s="6">
        <v>-303</v>
      </c>
      <c r="Q43" s="6">
        <v>-130</v>
      </c>
      <c r="R43" s="6">
        <v>-30</v>
      </c>
      <c r="S43" s="6">
        <v>-126</v>
      </c>
      <c r="T43" s="6">
        <v>-272</v>
      </c>
      <c r="U43" s="6">
        <v>-479</v>
      </c>
      <c r="V43" s="6">
        <v>-135</v>
      </c>
      <c r="W43" s="6">
        <v>-439</v>
      </c>
    </row>
    <row r="44" spans="1:23" ht="20" customHeight="1">
      <c r="A44" s="8" t="s">
        <v>53</v>
      </c>
      <c r="B44" s="1">
        <v>274</v>
      </c>
      <c r="C44" s="1">
        <v>-63</v>
      </c>
      <c r="D44" s="1">
        <v>-104</v>
      </c>
      <c r="E44" s="1">
        <v>-40</v>
      </c>
      <c r="F44" s="1">
        <v>-240</v>
      </c>
      <c r="G44" s="1">
        <v>-175</v>
      </c>
      <c r="H44" s="1">
        <v>-209</v>
      </c>
      <c r="I44" s="1">
        <v>-407</v>
      </c>
      <c r="J44" s="1">
        <v>-248</v>
      </c>
      <c r="K44" s="1">
        <v>-286</v>
      </c>
      <c r="L44" s="6">
        <v>-329</v>
      </c>
      <c r="M44" s="6">
        <v>106</v>
      </c>
      <c r="N44" s="6">
        <v>99</v>
      </c>
      <c r="O44" s="6">
        <v>55</v>
      </c>
      <c r="P44" s="6">
        <v>-281</v>
      </c>
      <c r="Q44" s="6">
        <v>-324</v>
      </c>
      <c r="R44" s="6">
        <v>-270</v>
      </c>
      <c r="S44" s="6">
        <v>-216</v>
      </c>
      <c r="T44" s="6">
        <v>-249</v>
      </c>
      <c r="U44" s="6">
        <v>-527</v>
      </c>
      <c r="V44" s="6">
        <v>-375</v>
      </c>
      <c r="W44" s="6">
        <v>-551</v>
      </c>
    </row>
    <row r="45" spans="1:23" ht="20" customHeight="1">
      <c r="A45" s="8" t="s">
        <v>54</v>
      </c>
      <c r="B45" s="1">
        <v>-303</v>
      </c>
      <c r="C45" s="1">
        <v>-331</v>
      </c>
      <c r="D45" s="1">
        <v>-167</v>
      </c>
      <c r="E45" s="1">
        <v>6</v>
      </c>
      <c r="F45" s="1">
        <v>214</v>
      </c>
      <c r="G45" s="1">
        <v>-136</v>
      </c>
      <c r="H45" s="1">
        <v>1820</v>
      </c>
      <c r="I45" s="1">
        <v>1438</v>
      </c>
      <c r="J45" s="1">
        <v>366</v>
      </c>
      <c r="K45" s="1">
        <v>-465</v>
      </c>
      <c r="L45" s="6">
        <v>81</v>
      </c>
      <c r="M45" s="6">
        <v>191</v>
      </c>
      <c r="N45" s="6">
        <v>-185</v>
      </c>
      <c r="O45" s="6">
        <v>-309</v>
      </c>
      <c r="P45" s="6">
        <v>-267</v>
      </c>
      <c r="Q45" s="6">
        <v>42</v>
      </c>
      <c r="R45" s="6">
        <v>165</v>
      </c>
      <c r="S45" s="6">
        <v>195</v>
      </c>
      <c r="T45" s="6">
        <v>178</v>
      </c>
      <c r="U45" s="6">
        <v>458</v>
      </c>
      <c r="V45" s="6">
        <v>-122</v>
      </c>
      <c r="W45" s="6">
        <v>-54</v>
      </c>
    </row>
    <row r="46" spans="1:23" ht="20" customHeight="1">
      <c r="A46" s="8" t="s">
        <v>55</v>
      </c>
      <c r="B46" s="1">
        <v>-285</v>
      </c>
      <c r="C46" s="1">
        <v>-262</v>
      </c>
      <c r="D46" s="1">
        <v>-213</v>
      </c>
      <c r="E46" s="1">
        <v>-378</v>
      </c>
      <c r="F46" s="1">
        <v>-266</v>
      </c>
      <c r="G46" s="1">
        <v>-427</v>
      </c>
      <c r="H46" s="1">
        <v>-370</v>
      </c>
      <c r="I46" s="1">
        <v>-352</v>
      </c>
      <c r="J46" s="1">
        <v>-256</v>
      </c>
      <c r="K46" s="1">
        <v>-338</v>
      </c>
      <c r="L46" s="6">
        <v>-263</v>
      </c>
      <c r="M46" s="6">
        <v>-163</v>
      </c>
      <c r="N46" s="6">
        <v>42</v>
      </c>
      <c r="O46" s="6">
        <v>-160</v>
      </c>
      <c r="P46" s="6">
        <v>-134</v>
      </c>
      <c r="Q46" s="6">
        <v>-207</v>
      </c>
      <c r="R46" s="6">
        <v>-440</v>
      </c>
      <c r="S46" s="6">
        <v>-416</v>
      </c>
      <c r="T46" s="6">
        <v>-403</v>
      </c>
      <c r="U46" s="6">
        <v>-413</v>
      </c>
      <c r="V46" s="6">
        <v>-647</v>
      </c>
      <c r="W46" s="6">
        <v>-628</v>
      </c>
    </row>
    <row r="47" spans="1:23" ht="20" customHeight="1">
      <c r="A47" s="8" t="s">
        <v>56</v>
      </c>
      <c r="B47" s="1">
        <v>-46</v>
      </c>
      <c r="C47" s="1">
        <v>-305</v>
      </c>
      <c r="D47" s="1">
        <v>-60</v>
      </c>
      <c r="E47" s="1">
        <v>-450</v>
      </c>
      <c r="F47" s="1">
        <v>-590</v>
      </c>
      <c r="G47" s="1">
        <v>-342</v>
      </c>
      <c r="H47" s="1">
        <v>-402</v>
      </c>
      <c r="I47" s="1">
        <v>-662</v>
      </c>
      <c r="J47" s="1">
        <v>-473</v>
      </c>
      <c r="K47" s="1">
        <v>-612</v>
      </c>
      <c r="L47" s="6">
        <v>-612</v>
      </c>
      <c r="M47" s="6">
        <v>6</v>
      </c>
      <c r="N47" s="6">
        <v>98</v>
      </c>
      <c r="O47" s="6">
        <v>-156</v>
      </c>
      <c r="P47" s="6">
        <v>-263</v>
      </c>
      <c r="Q47" s="6">
        <v>-97</v>
      </c>
      <c r="R47" s="6">
        <v>-313</v>
      </c>
      <c r="S47" s="6">
        <v>-39</v>
      </c>
      <c r="T47" s="6">
        <v>-276</v>
      </c>
      <c r="U47" s="6">
        <v>-610</v>
      </c>
      <c r="V47" s="6">
        <v>-443</v>
      </c>
      <c r="W47" s="6">
        <v>-519</v>
      </c>
    </row>
    <row r="48" spans="1:23" ht="20" customHeight="1">
      <c r="A48" s="8" t="s">
        <v>57</v>
      </c>
      <c r="B48" s="1">
        <v>-965</v>
      </c>
      <c r="C48" s="1">
        <v>-417</v>
      </c>
      <c r="D48" s="1">
        <v>-483</v>
      </c>
      <c r="E48" s="1">
        <v>-166</v>
      </c>
      <c r="F48" s="1">
        <v>-548</v>
      </c>
      <c r="G48" s="1">
        <v>-441</v>
      </c>
      <c r="H48" s="1">
        <v>-429</v>
      </c>
      <c r="I48" s="1">
        <v>-359</v>
      </c>
      <c r="J48" s="1">
        <v>-416</v>
      </c>
      <c r="K48" s="1">
        <v>-655</v>
      </c>
      <c r="L48" s="6">
        <v>-166</v>
      </c>
      <c r="M48" s="6">
        <v>-100</v>
      </c>
      <c r="N48" s="6">
        <v>-223</v>
      </c>
      <c r="O48" s="6">
        <v>-324</v>
      </c>
      <c r="P48" s="6">
        <v>-388</v>
      </c>
      <c r="Q48" s="6">
        <v>-411</v>
      </c>
      <c r="R48" s="6">
        <v>-517</v>
      </c>
      <c r="S48" s="6">
        <v>-617</v>
      </c>
      <c r="T48" s="6">
        <v>85</v>
      </c>
      <c r="U48" s="6">
        <v>374</v>
      </c>
      <c r="V48" s="6">
        <v>-436</v>
      </c>
      <c r="W48" s="6">
        <v>-1781</v>
      </c>
    </row>
    <row r="49" spans="1:23" ht="20" customHeight="1">
      <c r="A49" s="8" t="s">
        <v>58</v>
      </c>
      <c r="B49" s="1">
        <v>-795</v>
      </c>
      <c r="C49" s="1">
        <v>-362</v>
      </c>
      <c r="D49" s="1">
        <v>-154</v>
      </c>
      <c r="E49" s="1">
        <v>-271</v>
      </c>
      <c r="F49" s="1">
        <v>-230</v>
      </c>
      <c r="G49" s="1">
        <v>-441</v>
      </c>
      <c r="H49" s="1">
        <v>-233</v>
      </c>
      <c r="I49" s="1">
        <v>-114</v>
      </c>
      <c r="J49" s="1">
        <v>-631</v>
      </c>
      <c r="K49" s="1">
        <v>-400</v>
      </c>
      <c r="L49" s="6">
        <v>-412</v>
      </c>
      <c r="M49" s="6">
        <v>-217</v>
      </c>
      <c r="N49" s="6">
        <v>-686</v>
      </c>
      <c r="O49" s="6">
        <v>-525</v>
      </c>
      <c r="P49" s="6">
        <v>-382</v>
      </c>
      <c r="Q49" s="6">
        <v>-259</v>
      </c>
      <c r="R49" s="6">
        <v>-278</v>
      </c>
      <c r="S49" s="6">
        <v>-174</v>
      </c>
      <c r="T49" s="6">
        <v>-153</v>
      </c>
      <c r="U49" s="6">
        <v>-276</v>
      </c>
      <c r="V49" s="6">
        <v>-469</v>
      </c>
      <c r="W49" s="6">
        <v>-585</v>
      </c>
    </row>
    <row r="50" spans="1:23" ht="20" customHeight="1">
      <c r="A50" s="8" t="s">
        <v>59</v>
      </c>
      <c r="B50" s="1">
        <v>145</v>
      </c>
      <c r="C50" s="1">
        <v>-225</v>
      </c>
      <c r="D50" s="1">
        <v>-148</v>
      </c>
      <c r="E50" s="1">
        <v>-222</v>
      </c>
      <c r="F50" s="1">
        <v>-212</v>
      </c>
      <c r="G50" s="1">
        <v>-467</v>
      </c>
      <c r="H50" s="1">
        <v>9</v>
      </c>
      <c r="I50" s="1">
        <v>-245</v>
      </c>
      <c r="J50" s="1">
        <v>-155</v>
      </c>
      <c r="K50" s="1">
        <v>-123</v>
      </c>
      <c r="L50" s="6">
        <v>149</v>
      </c>
      <c r="M50" s="6">
        <v>-34</v>
      </c>
      <c r="N50" s="6">
        <v>139</v>
      </c>
      <c r="O50" s="6">
        <v>-81</v>
      </c>
      <c r="P50" s="6">
        <v>-38</v>
      </c>
      <c r="Q50" s="6">
        <v>-145</v>
      </c>
      <c r="R50" s="6">
        <v>-116</v>
      </c>
      <c r="S50" s="6">
        <v>-287</v>
      </c>
      <c r="T50" s="6">
        <v>-106</v>
      </c>
      <c r="U50" s="6">
        <v>-503</v>
      </c>
      <c r="V50" s="6">
        <v>149</v>
      </c>
      <c r="W50" s="6">
        <v>-493</v>
      </c>
    </row>
    <row r="51" spans="1:23" ht="20" customHeight="1">
      <c r="A51" s="8" t="s">
        <v>60</v>
      </c>
      <c r="B51" s="1">
        <v>-393</v>
      </c>
      <c r="C51" s="1">
        <v>-166</v>
      </c>
      <c r="D51" s="1">
        <v>-165</v>
      </c>
      <c r="E51" s="1">
        <v>-138</v>
      </c>
      <c r="F51" s="1">
        <v>-253</v>
      </c>
      <c r="G51" s="1">
        <v>-469</v>
      </c>
      <c r="H51" s="1">
        <v>-435</v>
      </c>
      <c r="I51" s="1">
        <v>-617</v>
      </c>
      <c r="J51" s="1">
        <v>-902</v>
      </c>
      <c r="K51" s="1">
        <v>-1201</v>
      </c>
      <c r="L51" s="6">
        <v>-962</v>
      </c>
      <c r="M51" s="6">
        <v>-921</v>
      </c>
      <c r="N51" s="6">
        <v>-1364</v>
      </c>
      <c r="O51" s="6">
        <v>-1869</v>
      </c>
      <c r="P51" s="6">
        <v>-1473</v>
      </c>
      <c r="Q51" s="6">
        <v>-407</v>
      </c>
      <c r="R51" s="6">
        <v>-430</v>
      </c>
      <c r="S51" s="6">
        <v>-216</v>
      </c>
      <c r="T51" s="6">
        <v>-236</v>
      </c>
      <c r="U51" s="6">
        <v>-436</v>
      </c>
      <c r="V51" s="6">
        <v>-360</v>
      </c>
      <c r="W51" s="6">
        <v>-230</v>
      </c>
    </row>
    <row r="52" spans="1:23" ht="20" customHeight="1">
      <c r="A52" s="8" t="s">
        <v>61</v>
      </c>
      <c r="B52" s="1">
        <v>-672</v>
      </c>
      <c r="C52" s="1">
        <v>-577</v>
      </c>
      <c r="D52" s="1">
        <v>-555</v>
      </c>
      <c r="E52" s="1">
        <v>-240</v>
      </c>
      <c r="F52" s="1">
        <v>463</v>
      </c>
      <c r="G52" s="1">
        <v>2362</v>
      </c>
      <c r="H52" s="1">
        <v>1192</v>
      </c>
      <c r="I52" s="1">
        <v>389</v>
      </c>
      <c r="J52" s="1">
        <v>-10</v>
      </c>
      <c r="K52" s="1">
        <v>-117</v>
      </c>
      <c r="L52" s="6">
        <v>-189</v>
      </c>
      <c r="M52" s="6">
        <v>-354</v>
      </c>
      <c r="N52" s="6">
        <v>-24</v>
      </c>
      <c r="O52" s="6">
        <v>-258</v>
      </c>
      <c r="P52" s="6">
        <v>-260</v>
      </c>
      <c r="Q52" s="6">
        <v>-493</v>
      </c>
      <c r="R52" s="6">
        <v>-636</v>
      </c>
      <c r="S52" s="6">
        <v>-610</v>
      </c>
      <c r="T52" s="6">
        <v>-674</v>
      </c>
      <c r="U52" s="6">
        <v>-602</v>
      </c>
      <c r="V52" s="6">
        <v>-438</v>
      </c>
      <c r="W52" s="6">
        <v>-87</v>
      </c>
    </row>
    <row r="53" spans="1:23" ht="20" customHeight="1">
      <c r="A53" s="8" t="s">
        <v>62</v>
      </c>
      <c r="B53" s="1">
        <v>-332</v>
      </c>
      <c r="C53" s="1">
        <v>-153</v>
      </c>
      <c r="D53" s="1">
        <v>-238</v>
      </c>
      <c r="E53" s="1">
        <v>-152</v>
      </c>
      <c r="F53" s="1">
        <v>-155</v>
      </c>
      <c r="G53" s="1">
        <v>-159</v>
      </c>
      <c r="H53" s="1">
        <v>-63</v>
      </c>
      <c r="I53" s="1">
        <v>-240</v>
      </c>
      <c r="J53" s="1">
        <v>-38</v>
      </c>
      <c r="K53" s="1">
        <v>-21</v>
      </c>
      <c r="L53" s="6">
        <v>21</v>
      </c>
      <c r="M53" s="6">
        <v>148</v>
      </c>
      <c r="N53" s="6">
        <v>63</v>
      </c>
      <c r="O53" s="6">
        <v>-30</v>
      </c>
      <c r="P53" s="6">
        <v>-60</v>
      </c>
      <c r="Q53" s="6">
        <v>-135</v>
      </c>
      <c r="R53" s="6">
        <v>-73</v>
      </c>
      <c r="S53" s="6">
        <v>-135</v>
      </c>
      <c r="T53" s="6">
        <v>-41</v>
      </c>
      <c r="U53" s="6">
        <v>-69</v>
      </c>
      <c r="V53" s="6">
        <v>-124</v>
      </c>
      <c r="W53" s="6">
        <v>-218</v>
      </c>
    </row>
    <row r="54" spans="1:23" ht="20" customHeight="1">
      <c r="A54" s="8" t="s">
        <v>63</v>
      </c>
      <c r="B54" s="1">
        <v>414</v>
      </c>
      <c r="C54" s="1">
        <v>281</v>
      </c>
      <c r="D54" s="1">
        <v>107</v>
      </c>
      <c r="E54" s="1">
        <v>103</v>
      </c>
      <c r="F54" s="1">
        <v>29</v>
      </c>
      <c r="G54" s="1">
        <v>63</v>
      </c>
      <c r="H54" s="1">
        <v>-74</v>
      </c>
      <c r="I54" s="1">
        <v>-65</v>
      </c>
      <c r="J54" s="1">
        <v>84</v>
      </c>
      <c r="K54" s="1">
        <v>107</v>
      </c>
      <c r="L54" s="6">
        <v>36</v>
      </c>
      <c r="M54" s="6">
        <v>142</v>
      </c>
      <c r="N54" s="6">
        <v>177</v>
      </c>
      <c r="O54" s="6">
        <v>37</v>
      </c>
      <c r="P54" s="6">
        <v>-69</v>
      </c>
      <c r="Q54" s="6">
        <v>-51</v>
      </c>
      <c r="R54" s="6">
        <v>-44</v>
      </c>
      <c r="S54" s="6">
        <v>39</v>
      </c>
      <c r="T54" s="6">
        <v>-79</v>
      </c>
      <c r="U54" s="6">
        <v>-97</v>
      </c>
      <c r="V54" s="6">
        <v>-188</v>
      </c>
      <c r="W54" s="6">
        <v>-343</v>
      </c>
    </row>
    <row r="55" spans="1:23" ht="20" customHeight="1">
      <c r="A55" s="8" t="s">
        <v>64</v>
      </c>
      <c r="B55" s="1">
        <v>-101</v>
      </c>
      <c r="C55" s="1">
        <v>-98</v>
      </c>
      <c r="D55" s="1">
        <v>-186</v>
      </c>
      <c r="E55" s="1">
        <v>-349</v>
      </c>
      <c r="F55" s="1">
        <v>-556</v>
      </c>
      <c r="G55" s="1">
        <v>-560</v>
      </c>
      <c r="H55" s="1">
        <v>-233</v>
      </c>
      <c r="I55" s="1">
        <v>-295</v>
      </c>
      <c r="J55" s="1">
        <v>-251</v>
      </c>
      <c r="K55" s="1">
        <v>367</v>
      </c>
      <c r="L55" s="6">
        <v>203</v>
      </c>
      <c r="M55" s="6">
        <v>82</v>
      </c>
      <c r="N55" s="6">
        <v>-272</v>
      </c>
      <c r="O55" s="6">
        <v>-234</v>
      </c>
      <c r="P55" s="6">
        <v>-143</v>
      </c>
      <c r="Q55" s="6">
        <v>-320</v>
      </c>
      <c r="R55" s="6">
        <v>-168</v>
      </c>
      <c r="S55" s="6">
        <v>-224</v>
      </c>
      <c r="T55" s="6">
        <v>-195</v>
      </c>
      <c r="U55" s="6">
        <v>-362</v>
      </c>
      <c r="V55" s="6">
        <v>-271</v>
      </c>
      <c r="W55" s="6">
        <v>-219</v>
      </c>
    </row>
    <row r="56" spans="1:23" ht="20" customHeight="1">
      <c r="A56" s="8" t="s">
        <v>65</v>
      </c>
      <c r="B56" s="1">
        <v>-809</v>
      </c>
      <c r="C56" s="1">
        <v>-592</v>
      </c>
      <c r="D56" s="1">
        <v>-375</v>
      </c>
      <c r="E56" s="1">
        <v>-281</v>
      </c>
      <c r="F56" s="1">
        <v>-880</v>
      </c>
      <c r="G56" s="1">
        <v>-672</v>
      </c>
      <c r="H56" s="1">
        <v>-528</v>
      </c>
      <c r="I56" s="1">
        <v>-551</v>
      </c>
      <c r="J56" s="1">
        <v>-996</v>
      </c>
      <c r="K56" s="1">
        <v>-773</v>
      </c>
      <c r="L56" s="6">
        <v>-485</v>
      </c>
      <c r="M56" s="6">
        <v>-351</v>
      </c>
      <c r="N56" s="6">
        <v>732</v>
      </c>
      <c r="O56" s="6">
        <v>979</v>
      </c>
      <c r="P56" s="6">
        <v>364</v>
      </c>
      <c r="Q56" s="6">
        <v>234</v>
      </c>
      <c r="R56" s="6">
        <v>42</v>
      </c>
      <c r="S56" s="6">
        <v>61</v>
      </c>
      <c r="T56" s="6">
        <v>-84</v>
      </c>
      <c r="U56" s="6">
        <v>-245</v>
      </c>
      <c r="V56" s="6">
        <v>-160</v>
      </c>
      <c r="W56" s="6">
        <v>-307</v>
      </c>
    </row>
    <row r="57" spans="1:23" ht="20" customHeight="1">
      <c r="A57" s="8" t="s">
        <v>66</v>
      </c>
      <c r="B57" s="1">
        <v>-1096</v>
      </c>
      <c r="C57" s="1">
        <v>-924</v>
      </c>
      <c r="D57" s="1">
        <v>-858</v>
      </c>
      <c r="E57" s="1">
        <v>-568</v>
      </c>
      <c r="F57" s="1">
        <v>-1487</v>
      </c>
      <c r="G57" s="1">
        <v>-1117</v>
      </c>
      <c r="H57" s="1">
        <v>-782</v>
      </c>
      <c r="I57" s="1">
        <v>-1028</v>
      </c>
      <c r="J57" s="1">
        <v>-1362</v>
      </c>
      <c r="K57" s="1">
        <v>-1047</v>
      </c>
      <c r="L57" s="6">
        <v>-661</v>
      </c>
      <c r="M57" s="6">
        <v>-552</v>
      </c>
      <c r="N57" s="6">
        <v>-453</v>
      </c>
      <c r="O57" s="6">
        <v>-834</v>
      </c>
      <c r="P57" s="6">
        <v>-460</v>
      </c>
      <c r="Q57" s="6">
        <v>-457</v>
      </c>
      <c r="R57" s="6">
        <v>-182</v>
      </c>
      <c r="S57" s="6">
        <v>-224</v>
      </c>
      <c r="T57" s="6">
        <v>-213</v>
      </c>
      <c r="U57" s="6">
        <v>-385</v>
      </c>
      <c r="V57" s="6">
        <v>-291</v>
      </c>
      <c r="W57" s="6">
        <v>-302</v>
      </c>
    </row>
    <row r="58" spans="1:23" ht="20" customHeight="1">
      <c r="A58" s="8" t="s">
        <v>67</v>
      </c>
      <c r="B58" s="1">
        <v>146</v>
      </c>
      <c r="C58" s="1">
        <v>83</v>
      </c>
      <c r="D58" s="1">
        <v>-271</v>
      </c>
      <c r="E58" s="1">
        <v>-185</v>
      </c>
      <c r="F58" s="1">
        <v>952</v>
      </c>
      <c r="G58" s="1">
        <v>675</v>
      </c>
      <c r="H58" s="1">
        <v>-112</v>
      </c>
      <c r="I58" s="1">
        <v>147</v>
      </c>
      <c r="J58" s="1">
        <v>-377</v>
      </c>
      <c r="K58" s="1">
        <v>1125</v>
      </c>
      <c r="L58" s="6">
        <v>1071</v>
      </c>
      <c r="M58" s="6">
        <v>311</v>
      </c>
      <c r="N58" s="6">
        <v>262</v>
      </c>
      <c r="O58" s="6">
        <v>1044</v>
      </c>
      <c r="P58" s="6">
        <v>664</v>
      </c>
      <c r="Q58" s="6">
        <v>446</v>
      </c>
      <c r="R58" s="6">
        <v>485</v>
      </c>
      <c r="S58" s="6">
        <v>331</v>
      </c>
      <c r="T58" s="6">
        <v>1028</v>
      </c>
      <c r="U58" s="6">
        <v>1168</v>
      </c>
      <c r="V58" s="6">
        <v>635</v>
      </c>
      <c r="W58" s="6">
        <v>-190</v>
      </c>
    </row>
    <row r="59" spans="1:23" ht="20" customHeight="1">
      <c r="A59" s="8" t="s">
        <v>68</v>
      </c>
      <c r="B59" s="1">
        <v>50</v>
      </c>
      <c r="C59" s="1">
        <v>-334</v>
      </c>
      <c r="D59" s="1">
        <v>-259</v>
      </c>
      <c r="E59" s="1">
        <v>-85</v>
      </c>
      <c r="F59" s="1">
        <v>-585</v>
      </c>
      <c r="G59" s="1">
        <v>-294</v>
      </c>
      <c r="H59" s="1">
        <v>-277</v>
      </c>
      <c r="I59" s="1">
        <v>-359</v>
      </c>
      <c r="J59" s="1">
        <v>3174</v>
      </c>
      <c r="K59" s="1">
        <v>3273</v>
      </c>
      <c r="L59" s="6">
        <v>1555</v>
      </c>
      <c r="M59" s="6">
        <v>178</v>
      </c>
      <c r="N59" s="6">
        <v>-481</v>
      </c>
      <c r="O59" s="6">
        <v>-455</v>
      </c>
      <c r="P59" s="6">
        <v>-302</v>
      </c>
      <c r="Q59" s="6">
        <v>-281</v>
      </c>
      <c r="R59" s="6">
        <v>-404</v>
      </c>
      <c r="S59" s="6">
        <v>-224</v>
      </c>
      <c r="T59" s="6">
        <v>-378</v>
      </c>
      <c r="U59" s="6">
        <v>-434</v>
      </c>
      <c r="V59" s="6">
        <v>-468</v>
      </c>
      <c r="W59" s="6">
        <v>998</v>
      </c>
    </row>
    <row r="60" spans="1:23" ht="20" customHeight="1">
      <c r="A60" s="8" t="s">
        <v>69</v>
      </c>
      <c r="B60" s="1">
        <v>2487</v>
      </c>
      <c r="C60" s="1">
        <v>1833</v>
      </c>
      <c r="D60" s="1">
        <v>2040</v>
      </c>
      <c r="E60" s="1">
        <v>1232</v>
      </c>
      <c r="F60" s="1">
        <v>4790</v>
      </c>
      <c r="G60" s="1">
        <v>5128</v>
      </c>
      <c r="H60" s="1">
        <v>3841</v>
      </c>
      <c r="I60" s="1">
        <v>3055</v>
      </c>
      <c r="J60" s="1">
        <v>2082</v>
      </c>
      <c r="K60" s="1">
        <v>1023</v>
      </c>
      <c r="L60" s="6">
        <v>1210</v>
      </c>
      <c r="M60" s="6">
        <v>1378</v>
      </c>
      <c r="N60" s="6">
        <v>1623</v>
      </c>
      <c r="O60" s="6">
        <v>1038</v>
      </c>
      <c r="P60" s="6">
        <v>691</v>
      </c>
      <c r="Q60" s="6">
        <v>87</v>
      </c>
      <c r="R60" s="6">
        <v>59</v>
      </c>
      <c r="S60" s="6">
        <v>125</v>
      </c>
      <c r="T60" s="6">
        <v>57</v>
      </c>
      <c r="U60" s="6">
        <v>225</v>
      </c>
      <c r="V60" s="6">
        <v>166</v>
      </c>
      <c r="W60" s="6">
        <v>1589</v>
      </c>
    </row>
    <row r="61" spans="1:23" ht="20" customHeight="1">
      <c r="A61" s="8" t="s">
        <v>70</v>
      </c>
      <c r="B61" s="1">
        <v>1664</v>
      </c>
      <c r="C61" s="1">
        <v>283</v>
      </c>
      <c r="D61" s="1">
        <v>500</v>
      </c>
      <c r="E61" s="1">
        <v>213</v>
      </c>
      <c r="F61" s="1">
        <v>-157</v>
      </c>
      <c r="G61" s="1">
        <v>-10</v>
      </c>
      <c r="H61" s="1">
        <v>354</v>
      </c>
      <c r="I61" s="1">
        <v>1183</v>
      </c>
      <c r="J61" s="1">
        <v>1039</v>
      </c>
      <c r="K61" s="1">
        <v>464</v>
      </c>
      <c r="L61" s="6">
        <v>241</v>
      </c>
      <c r="M61" s="6">
        <v>202</v>
      </c>
      <c r="N61" s="6">
        <v>821</v>
      </c>
      <c r="O61" s="6">
        <v>526</v>
      </c>
      <c r="P61" s="6">
        <v>165</v>
      </c>
      <c r="Q61" s="6">
        <v>367</v>
      </c>
      <c r="R61" s="6">
        <v>1336</v>
      </c>
      <c r="S61" s="6">
        <v>1432</v>
      </c>
      <c r="T61" s="6">
        <v>947</v>
      </c>
      <c r="U61" s="6">
        <v>698</v>
      </c>
      <c r="V61" s="6">
        <v>412</v>
      </c>
      <c r="W61" s="6">
        <v>9</v>
      </c>
    </row>
    <row r="62" spans="1:23" ht="20" customHeight="1">
      <c r="A62" s="8" t="s">
        <v>71</v>
      </c>
      <c r="B62" s="1">
        <v>346</v>
      </c>
      <c r="C62" s="1">
        <v>1376</v>
      </c>
      <c r="D62" s="1">
        <v>930</v>
      </c>
      <c r="E62" s="1">
        <v>421</v>
      </c>
      <c r="F62" s="1">
        <v>241</v>
      </c>
      <c r="G62" s="1">
        <v>214</v>
      </c>
      <c r="H62" s="1">
        <v>446</v>
      </c>
      <c r="I62" s="1">
        <v>592</v>
      </c>
      <c r="J62" s="1">
        <v>402</v>
      </c>
      <c r="K62" s="1">
        <v>396</v>
      </c>
      <c r="L62" s="6">
        <v>511</v>
      </c>
      <c r="M62" s="6">
        <v>2085</v>
      </c>
      <c r="N62" s="6">
        <v>801</v>
      </c>
      <c r="O62" s="6">
        <v>393</v>
      </c>
      <c r="P62" s="6">
        <v>370</v>
      </c>
      <c r="Q62" s="6">
        <v>917</v>
      </c>
      <c r="R62" s="6">
        <v>565</v>
      </c>
      <c r="S62" s="6">
        <v>320</v>
      </c>
      <c r="T62" s="6">
        <v>313</v>
      </c>
      <c r="U62" s="6">
        <v>285</v>
      </c>
      <c r="V62" s="6">
        <v>580</v>
      </c>
      <c r="W62" s="6">
        <v>721</v>
      </c>
    </row>
  </sheetData>
  <autoFilter ref="A1:K62" xr:uid="{00000000-0001-0000-0000-000000000000}">
    <sortState xmlns:xlrd2="http://schemas.microsoft.com/office/spreadsheetml/2017/richdata2" ref="A3:K62">
      <sortCondition ref="A1:A62"/>
    </sortState>
  </autoFilter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resident</vt:lpstr>
      <vt:lpstr>medical</vt:lpstr>
      <vt:lpstr>housing</vt:lpstr>
      <vt:lpstr>movingpop</vt:lpstr>
      <vt:lpstr>net_movingpop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박세현</cp:lastModifiedBy>
  <dcterms:created xsi:type="dcterms:W3CDTF">2025-02-02T06:57:38Z</dcterms:created>
  <dcterms:modified xsi:type="dcterms:W3CDTF">2025-02-02T12:11:06Z</dcterms:modified>
</cp:coreProperties>
</file>